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johnatan\Desktop\"/>
    </mc:Choice>
  </mc:AlternateContent>
  <bookViews>
    <workbookView xWindow="930" yWindow="0" windowWidth="18270" windowHeight="7640" activeTab="2"/>
  </bookViews>
  <sheets>
    <sheet name="LISTADOS" sheetId="5" r:id="rId1"/>
    <sheet name="D" sheetId="2" r:id="rId2"/>
    <sheet name="BD" sheetId="4" r:id="rId3"/>
  </sheets>
  <calcPr calcId="162913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9" i="2" s="1"/>
  <c r="B1" i="2"/>
  <c r="B10" i="2" l="1"/>
  <c r="B11" i="2" s="1"/>
  <c r="B12" i="2" s="1"/>
</calcChain>
</file>

<file path=xl/sharedStrings.xml><?xml version="1.0" encoding="utf-8"?>
<sst xmlns="http://schemas.openxmlformats.org/spreadsheetml/2006/main" count="86" uniqueCount="58">
  <si>
    <t>FECHA</t>
  </si>
  <si>
    <t>FACT_FEN</t>
  </si>
  <si>
    <t>Reg</t>
  </si>
  <si>
    <t>Cantidad</t>
  </si>
  <si>
    <t>Descripcion</t>
  </si>
  <si>
    <t>VALOR_UNITARIO</t>
  </si>
  <si>
    <t>DESCUENTOS</t>
  </si>
  <si>
    <t>PRECIO_FINAL</t>
  </si>
  <si>
    <t>VALOR_TOTAL</t>
  </si>
  <si>
    <t>iva_19%</t>
  </si>
  <si>
    <t>VALOR_TOTAL2</t>
  </si>
  <si>
    <t>COSTO_UND</t>
  </si>
  <si>
    <t>BALSAMO CON EXTRACTOS NATURALES * 500 ML</t>
  </si>
  <si>
    <t>FEN43739</t>
  </si>
  <si>
    <t>LMARListado</t>
  </si>
  <si>
    <t>ACOND RESTRUCTURANTE REP LISSTYLE * 250 ML</t>
  </si>
  <si>
    <t>ACOND TEXT SEMILLAS LINO * 500 ML</t>
  </si>
  <si>
    <t>BB CREAM TRATAMIENTO CAPILAR 250GR</t>
  </si>
  <si>
    <t>CREMA PEINAR ETNIKER * 290g</t>
  </si>
  <si>
    <t>CREMA PEINAR ETNIKER * 500g</t>
  </si>
  <si>
    <t>ESPUMA INTENSIFICADORA ETNIKER X 150 ML</t>
  </si>
  <si>
    <t>GEL CURL DEFINING ETNIKER X 1000 GR</t>
  </si>
  <si>
    <t>GEL CURL DEFINING ETNIKER X 300 GR</t>
  </si>
  <si>
    <t>GEL FLUIDO ETNIKER * 300ml</t>
  </si>
  <si>
    <t>HIDRATIV TTO CAPILAR*300ML</t>
  </si>
  <si>
    <t>HIDROCAUTERIZACION TRATAM CAPILAR 250GR</t>
  </si>
  <si>
    <t>HIDROELIXIR ETNIKER * 38ml</t>
  </si>
  <si>
    <t>KERATIN REPAIR * 290 GR</t>
  </si>
  <si>
    <t>KERATIN REPAIR PLUS *280ML</t>
  </si>
  <si>
    <t>KIT LISSTYLE TRAT ALISAD PROGR *1000ML</t>
  </si>
  <si>
    <t>KIT LISSTYLE TRAT ALISADOR PROGR * 120ML</t>
  </si>
  <si>
    <t>KIT LISSTYLE TRAT ALISADOR PROGR * 250 ML</t>
  </si>
  <si>
    <t>MASCARILLA CAPILAR LISSTYLE * 240 GR</t>
  </si>
  <si>
    <t>MASCARILLA ETNIKER * 300g</t>
  </si>
  <si>
    <t>MASCARILLA ETNIKER * 570g</t>
  </si>
  <si>
    <t>OLEO NUTRITIVO DE ARGAN * 38 ML</t>
  </si>
  <si>
    <t>REFRESCANTE DE RIZOS ETNIKER 300 ML</t>
  </si>
  <si>
    <t>REPAIR DROPS * 30 ML</t>
  </si>
  <si>
    <t>REPOLARIZADOR * 285 GR</t>
  </si>
  <si>
    <t>SATIN REPAIR (GUSANO DE SEDA) * 290 ML</t>
  </si>
  <si>
    <t>SERUM ALISADOR LISSTYLE * 90 GR</t>
  </si>
  <si>
    <t>SH LIMP PROF ETNIKER * 250 ml</t>
  </si>
  <si>
    <t>SH NUTRITIVO REPARADOR LISSTYLE * 250 ML</t>
  </si>
  <si>
    <t>SH PROF SIN SAL * 1000 ML</t>
  </si>
  <si>
    <t>SH PROF SIN SAL *500 ML</t>
  </si>
  <si>
    <t>SH PROF SIN SAL FLORAL *500 ML</t>
  </si>
  <si>
    <t>SH TEXT SEMILLAS LINO * 500 ML</t>
  </si>
  <si>
    <t>SHAMPOO NOURISHING ETNIKER * 250ml</t>
  </si>
  <si>
    <t>SHAMPOO NOURISHING ETNIKER * 500 ML</t>
  </si>
  <si>
    <t>THERMO BLINDAJE TRATAM CAPILAR 250GR</t>
  </si>
  <si>
    <t>TONICO CAPILAR ETNIKER *120 ML</t>
  </si>
  <si>
    <t>TRAT TEXT SEMILLAS LINO * 300 ML</t>
  </si>
  <si>
    <t>TRATAMIENTO AMAZONIA ETNIKER 1000 GR</t>
  </si>
  <si>
    <t>TRATAMIENTO CARIBE ETNIKER * 1000 GR</t>
  </si>
  <si>
    <t>TRATAMIENTO DEEP TREATMENT ETNIKER 570GR</t>
  </si>
  <si>
    <t>TRATAMIENTO PACIFICO ETNIKER 1000 GR</t>
  </si>
  <si>
    <t>(en blanco)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</si>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</sst>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* #,##0_-;\-&quot;$&quot;* #,##0_-;_-&quot;$&quot;* &quot;-&quot;_-;_-@_-"/>
    <numFmt numFmtId="41" formatCode="_-* #,##0_-;\-* #,##0_-;_-* &quot;-&quot;_-;_-@_-"/>
    <numFmt numFmtId="164" formatCode="[$-240A]d&quot; &quot;mmmm&quot; &quot;yyyy;@"/>
    <numFmt numFmtId="165" formatCode="&quot;$&quot;#,##0"/>
    <numFmt numFmtId="166" formatCode="[$-240A]dddd\,\ d\ &quot;de&quot;\ mmmm\ &quot;de&quot;\ yyyy"/>
    <numFmt numFmtId="168" formatCode="[$-240A]d&quot; de &quot;mmmm&quot; de &quot;yyyy;@"/>
    <numFmt numFmtId="169" formatCode="_-&quot;$&quot;* #,##0_-;\-&quot;$&quot;* #,##0_-;_-&quot;$&quot;* &quot;-&quot;??_-;_-@_-"/>
    <numFmt numFmtId="170" formatCode="#,##0_ ;\-#,##0\ 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1" fillId="3" borderId="3" xfId="0" applyFont="1" applyFill="1" applyBorder="1"/>
    <xf numFmtId="168" fontId="0" fillId="0" borderId="0" xfId="0" applyNumberFormat="1"/>
    <xf numFmtId="1" fontId="0" fillId="0" borderId="0" xfId="0" applyNumberFormat="1"/>
    <xf numFmtId="49" fontId="0" fillId="0" borderId="0" xfId="0" applyNumberFormat="1"/>
    <xf numFmtId="42" fontId="0" fillId="0" borderId="0" xfId="0" applyNumberFormat="1"/>
    <xf numFmtId="165" fontId="0" fillId="0" borderId="0" xfId="0" applyNumberFormat="1"/>
    <xf numFmtId="0" fontId="0" fillId="0" borderId="0" xfId="0" applyNumberFormat="1"/>
    <xf numFmtId="0" fontId="0" fillId="0" borderId="2" xfId="0" applyBorder="1" applyAlignment="1">
      <alignment horizontal="left"/>
    </xf>
    <xf numFmtId="0" fontId="0" fillId="0" borderId="2" xfId="0" pivotButton="1" applyBorder="1"/>
    <xf numFmtId="164" fontId="0" fillId="6" borderId="0" xfId="0" applyNumberFormat="1" applyFill="1"/>
    <xf numFmtId="0" fontId="0" fillId="6" borderId="1" xfId="0" applyNumberFormat="1" applyFill="1" applyBorder="1"/>
    <xf numFmtId="165" fontId="2" fillId="5" borderId="0" xfId="0" applyNumberFormat="1" applyFont="1" applyFill="1" applyProtection="1"/>
    <xf numFmtId="1" fontId="2" fillId="5" borderId="0" xfId="0" applyNumberFormat="1" applyFont="1" applyFill="1" applyProtection="1"/>
    <xf numFmtId="165" fontId="3" fillId="5" borderId="0" xfId="0" applyNumberFormat="1" applyFont="1" applyFill="1" applyProtection="1"/>
    <xf numFmtId="165" fontId="1" fillId="4" borderId="0" xfId="0" applyNumberFormat="1" applyFont="1" applyFill="1" applyProtection="1"/>
    <xf numFmtId="1" fontId="0" fillId="2" borderId="1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6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" formatCode="0"/>
    </dxf>
    <dxf>
      <numFmt numFmtId="168" formatCode="[$-240A]d&quot; de &quot;mmmm&quot; de &quot;yyyy;@"/>
    </dxf>
    <dxf>
      <numFmt numFmtId="1" formatCode="0"/>
    </dxf>
    <dxf>
      <numFmt numFmtId="165" formatCode="&quot;$&quot;#,##0"/>
    </dxf>
    <dxf>
      <numFmt numFmtId="165" formatCode="&quot;$&quot;#,##0"/>
    </dxf>
    <dxf>
      <numFmt numFmtId="1" formatCode="0"/>
    </dxf>
    <dxf>
      <numFmt numFmtId="32" formatCode="_-&quot;$&quot;* #,##0_-;\-&quot;$&quot;* #,##0_-;_-&quot;$&quot;* &quot;-&quot;_-;_-@_-"/>
    </dxf>
    <dxf>
      <numFmt numFmtId="32" formatCode="_-&quot;$&quot;* #,##0_-;\-&quot;$&quot;* #,##0_-;_-&quot;$&quot;* &quot;-&quot;_-;_-@_-"/>
    </dxf>
    <dxf>
      <numFmt numFmtId="32" formatCode="_-&quot;$&quot;* #,##0_-;\-&quot;$&quot;* #,##0_-;_-&quot;$&quot;* &quot;-&quot;_-;_-@_-"/>
    </dxf>
    <dxf>
      <numFmt numFmtId="32" formatCode="_-&quot;$&quot;* #,##0_-;\-&quot;$&quot;* #,##0_-;_-&quot;$&quot;* &quot;-&quot;_-;_-@_-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31750</xdr:rowOff>
    </xdr:from>
    <xdr:to>
      <xdr:col>1</xdr:col>
      <xdr:colOff>1035050</xdr:colOff>
      <xdr:row>14</xdr:row>
      <xdr:rowOff>158750</xdr:rowOff>
    </xdr:to>
    <xdr:sp macro="[0]!LIMPIAR" textlink="">
      <xdr:nvSpPr>
        <xdr:cNvPr id="2" name="Bisel 1"/>
        <xdr:cNvSpPr/>
      </xdr:nvSpPr>
      <xdr:spPr>
        <a:xfrm>
          <a:off x="1155700" y="2425700"/>
          <a:ext cx="971550" cy="311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Adobe Fan Heiti Std B" panose="020B0700000000000000" pitchFamily="34" charset="-128"/>
              <a:ea typeface="Adobe Fan Heiti Std B" panose="020B0700000000000000" pitchFamily="34" charset="-128"/>
            </a:rPr>
            <a:t>limpiar</a:t>
          </a:r>
        </a:p>
      </xdr:txBody>
    </xdr:sp>
    <xdr:clientData/>
  </xdr:twoCellAnchor>
  <xdr:twoCellAnchor>
    <xdr:from>
      <xdr:col>1</xdr:col>
      <xdr:colOff>1174750</xdr:colOff>
      <xdr:row>13</xdr:row>
      <xdr:rowOff>31750</xdr:rowOff>
    </xdr:from>
    <xdr:to>
      <xdr:col>1</xdr:col>
      <xdr:colOff>2146300</xdr:colOff>
      <xdr:row>14</xdr:row>
      <xdr:rowOff>158750</xdr:rowOff>
    </xdr:to>
    <xdr:sp macro="[0]!GRABAR" textlink="">
      <xdr:nvSpPr>
        <xdr:cNvPr id="3" name="Bisel 2"/>
        <xdr:cNvSpPr/>
      </xdr:nvSpPr>
      <xdr:spPr>
        <a:xfrm>
          <a:off x="2266950" y="2425700"/>
          <a:ext cx="971550" cy="3111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Adobe Heiti Std R" panose="020B0400000000000000" pitchFamily="34" charset="-128"/>
              <a:ea typeface="Adobe Heiti Std R" panose="020B0400000000000000" pitchFamily="34" charset="-128"/>
            </a:rPr>
            <a:t>GUARDAR</a:t>
          </a:r>
        </a:p>
      </xdr:txBody>
    </xdr:sp>
    <xdr:clientData/>
  </xdr:twoCellAnchor>
  <xdr:twoCellAnchor>
    <xdr:from>
      <xdr:col>2</xdr:col>
      <xdr:colOff>107950</xdr:colOff>
      <xdr:row>0</xdr:row>
      <xdr:rowOff>57150</xdr:rowOff>
    </xdr:from>
    <xdr:to>
      <xdr:col>3</xdr:col>
      <xdr:colOff>101600</xdr:colOff>
      <xdr:row>0</xdr:row>
      <xdr:rowOff>342900</xdr:rowOff>
    </xdr:to>
    <xdr:sp macro="[0]!HOY" textlink="">
      <xdr:nvSpPr>
        <xdr:cNvPr id="4" name="Bisel 3"/>
        <xdr:cNvSpPr/>
      </xdr:nvSpPr>
      <xdr:spPr>
        <a:xfrm>
          <a:off x="4406900" y="57150"/>
          <a:ext cx="755650" cy="2857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HOY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Control0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atan" refreshedDate="45260.669958796294" createdVersion="6" refreshedVersion="6" minRefreshableVersion="3" recordCount="273">
  <cacheSource type="worksheet">
    <worksheetSource name="LmarFACT" r:id="rId2"/>
  </cacheSource>
  <cacheFields count="17">
    <cacheField name="FECHA" numFmtId="168">
      <sharedItems containsSemiMixedTypes="0" containsNonDate="0" containsDate="1" containsString="0" minDate="2022-10-11T00:00:00" maxDate="2023-12-23T00:00:00"/>
    </cacheField>
    <cacheField name="FACT_FEN" numFmtId="0">
      <sharedItems containsMixedTypes="1" containsNumber="1" containsInteger="1" minValue="28902" maxValue="43504"/>
    </cacheField>
    <cacheField name="Reg" numFmtId="41">
      <sharedItems containsSemiMixedTypes="0" containsString="0" containsNumber="1" containsInteger="1" minValue="1" maxValue="18"/>
    </cacheField>
    <cacheField name="Item" numFmtId="0">
      <sharedItems containsString="0" containsBlank="1" containsNumber="1" containsInteger="1" minValue="3" maxValue="13"/>
    </cacheField>
    <cacheField name="Cantidad" numFmtId="1">
      <sharedItems containsSemiMixedTypes="0" containsString="0" containsNumber="1" containsInteger="1" minValue="1" maxValue="30"/>
    </cacheField>
    <cacheField name="Descripcion" numFmtId="49">
      <sharedItems containsBlank="1" count="43">
        <s v="HIDROELIXIR ETNIKER * 38ml"/>
        <s v="GEL CURL DEFINING ETNIKER X 300 GR"/>
        <s v="TRATAMIENTO CARIBE ETNIKER * 1000 GR"/>
        <s v="SATIN REPAIR (GUSANO DE SEDA) * 290 ML"/>
        <s v="KIT LISSTYLE TRAT ALISADOR PROGR * 250 ML"/>
        <s v="KERATIN REPAIR PLUS *280ML"/>
        <s v="CREMA PEINAR ETNIKER * 290g"/>
        <s v="MASCARILLA ETNIKER * 300g"/>
        <s v="SHAMPOO NOURISHING ETNIKER * 250ml"/>
        <s v="GEL FLUIDO ETNIKER * 300ml"/>
        <s v="REFRESCANTE DE RIZOS ETNIKER 300 ML"/>
        <s v="TONICO CAPILAR ETNIKER *120 ML"/>
        <s v="SH LIMP PROF ETNIKER * 250 ml"/>
        <s v="GEL CURL DEFINING ETNIKER X 1000 GR"/>
        <s v="BB CREAM TRATAMIENTO CAPILAR 250GR"/>
        <s v="THERMO BLINDAJE TRATAM CAPILAR 250GR"/>
        <s v="KIT LISSTYLE TRAT ALISADOR PROGR * 120ML"/>
        <s v="KIT LISSTYLE TRAT ALISAD PROGR *1000ML"/>
        <s v="CREMA PEINAR ETNIKER * 500g"/>
        <s v="TRATAMIENTO PACIFICO ETNIKER 1000 GR"/>
        <s v="BALSAMO CON EXTRACTOS NATURALES * 500 ML"/>
        <s v="SH PROF SIN SAL *500 ML"/>
        <s v="TRAT TEXT SEMILLAS LINO * 300 ML"/>
        <s v="SH TEXT SEMILLAS LINO * 500 ML"/>
        <s v="ACOND TEXT SEMILLAS LINO * 500 ML"/>
        <s v="OLEO NUTRITIVO DE ARGAN * 38 ML"/>
        <s v="TRATAMIENTO DEEP TREATMENT ETNIKER 570GR"/>
        <s v="TRATAMIENTO AMAZONIA ETNIKER 1000 GR"/>
        <s v="SH PROF SIN SAL * 1000 ML"/>
        <s v="REPOLARIZADOR * 285 GR"/>
        <s v="SH NUTRITIVO REPARADOR LISSTYLE * 250 ML"/>
        <s v="ACOND RESTRUCTURANTE REP LISSTYLE * 250 ML"/>
        <s v="SERUM ALISADOR LISSTYLE * 90 GR"/>
        <s v="MASCARILLA CAPILAR LISSTYLE * 240 GR"/>
        <s v="SH PROF SIN SAL FLORAL *500 ML"/>
        <s v="REPAIR DROPS * 30 ML"/>
        <s v="HIDROCAUTERIZACION TRATAM CAPILAR 250GR"/>
        <s v="SHAMPOO NOURISHING ETNIKER * 500 ML"/>
        <s v="HIDRATIV TTO CAPILAR*300ML"/>
        <s v="ESPUMA INTENSIFICADORA ETNIKER X 150 ML"/>
        <s v="MASCARILLA ETNIKER * 570g"/>
        <s v="KERATIN REPAIR * 290 GR"/>
        <m/>
      </sharedItems>
    </cacheField>
    <cacheField name="Tarifa" numFmtId="0">
      <sharedItems containsString="0" containsBlank="1" containsNumber="1" containsInteger="1" minValue="19" maxValue="19"/>
    </cacheField>
    <cacheField name="VALOR_UNITARIO" numFmtId="164">
      <sharedItems containsString="0" containsBlank="1" containsNumber="1" containsInteger="1" minValue="7498" maxValue="135600"/>
    </cacheField>
    <cacheField name="UM" numFmtId="164">
      <sharedItems containsBlank="1"/>
    </cacheField>
    <cacheField name="DESCUENTOS" numFmtId="42">
      <sharedItems containsString="0" containsBlank="1" containsNumber="1" containsInteger="1" minValue="0" maxValue="196530"/>
    </cacheField>
    <cacheField name="PRECIO_FINAL" numFmtId="164">
      <sharedItems containsSemiMixedTypes="0" containsString="0" containsNumber="1" minValue="0" maxValue="125915"/>
    </cacheField>
    <cacheField name="VALOR_TOTAL" numFmtId="164">
      <sharedItems containsSemiMixedTypes="0" containsString="0" containsNumber="1" containsInteger="1" minValue="0" maxValue="1259150"/>
    </cacheField>
    <cacheField name="iva_19%" numFmtId="164">
      <sharedItems containsSemiMixedTypes="0" containsString="0" containsNumber="1" minValue="0" maxValue="239238.5"/>
    </cacheField>
    <cacheField name="VALOR_TOTAL2" numFmtId="164">
      <sharedItems containsSemiMixedTypes="0" containsString="0" containsNumber="1" minValue="0" maxValue="1498388.5"/>
    </cacheField>
    <cacheField name="COSTO_UND" numFmtId="166">
      <sharedItems containsString="0" containsBlank="1" containsNumber="1" minValue="8195.5300000000007" maxValue="149838.85"/>
    </cacheField>
    <cacheField name="Columna1" numFmtId="166">
      <sharedItems containsString="0" containsBlank="1" containsNumber="1" containsInteger="1" minValue="1" maxValue="10"/>
    </cacheField>
    <cacheField name="Columna2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3">
  <r>
    <d v="2022-10-11T00:00:00"/>
    <n v="29440"/>
    <n v="1"/>
    <m/>
    <n v="6"/>
    <x v="0"/>
    <m/>
    <n v="12398"/>
    <s v="UND"/>
    <n v="3720"/>
    <n v="11778"/>
    <n v="70668"/>
    <n v="13426.92"/>
    <n v="84094.92"/>
    <n v="14015.82"/>
    <m/>
    <m/>
  </r>
  <r>
    <d v="2022-10-11T00:00:00"/>
    <n v="29440"/>
    <n v="2"/>
    <m/>
    <n v="10"/>
    <x v="1"/>
    <m/>
    <n v="8249"/>
    <s v="UND"/>
    <n v="4480"/>
    <n v="7801"/>
    <n v="78010"/>
    <n v="14821.9"/>
    <n v="92831.9"/>
    <n v="9283.1899999999987"/>
    <m/>
    <m/>
  </r>
  <r>
    <d v="2022-10-11T00:00:00"/>
    <n v="29440"/>
    <n v="3"/>
    <m/>
    <n v="4"/>
    <x v="2"/>
    <m/>
    <n v="17269"/>
    <s v="UND"/>
    <n v="3528"/>
    <n v="16387"/>
    <n v="65548"/>
    <n v="12454.12"/>
    <n v="78002.12"/>
    <n v="19500.53"/>
    <m/>
    <m/>
  </r>
  <r>
    <d v="2022-10-26T00:00:00"/>
    <n v="28902"/>
    <n v="1"/>
    <m/>
    <n v="2"/>
    <x v="3"/>
    <m/>
    <n v="8592"/>
    <m/>
    <n v="0"/>
    <n v="8592"/>
    <n v="17184"/>
    <n v="3264.96"/>
    <n v="20448.96"/>
    <n v="10224.48"/>
    <m/>
    <m/>
  </r>
  <r>
    <d v="2022-10-26T00:00:00"/>
    <n v="28902"/>
    <n v="2"/>
    <m/>
    <n v="6"/>
    <x v="4"/>
    <m/>
    <n v="106639"/>
    <m/>
    <n v="173922"/>
    <n v="77652"/>
    <n v="465912"/>
    <n v="88523.28"/>
    <n v="554435.28"/>
    <n v="92405.88"/>
    <m/>
    <m/>
  </r>
  <r>
    <d v="2022-10-26T00:00:00"/>
    <n v="28902"/>
    <n v="3"/>
    <m/>
    <n v="2"/>
    <x v="5"/>
    <m/>
    <n v="7503"/>
    <m/>
    <n v="0"/>
    <n v="7503"/>
    <n v="15006"/>
    <n v="2851.14"/>
    <n v="17857.14"/>
    <n v="8928.57"/>
    <m/>
    <m/>
  </r>
  <r>
    <d v="2022-10-26T00:00:00"/>
    <n v="28902"/>
    <n v="4"/>
    <m/>
    <n v="6"/>
    <x v="6"/>
    <m/>
    <n v="12398"/>
    <m/>
    <n v="3720"/>
    <n v="11778"/>
    <n v="70668"/>
    <n v="13426.92"/>
    <n v="84094.92"/>
    <n v="14015.82"/>
    <m/>
    <m/>
  </r>
  <r>
    <d v="2022-10-26T00:00:00"/>
    <n v="28902"/>
    <n v="5"/>
    <m/>
    <n v="6"/>
    <x v="7"/>
    <m/>
    <n v="12398"/>
    <m/>
    <n v="3720"/>
    <n v="11778"/>
    <n v="70668"/>
    <n v="13426.92"/>
    <n v="84094.92"/>
    <n v="14015.82"/>
    <m/>
    <m/>
  </r>
  <r>
    <d v="2022-10-26T00:00:00"/>
    <n v="28902"/>
    <n v="6"/>
    <m/>
    <n v="6"/>
    <x v="0"/>
    <m/>
    <n v="12398"/>
    <m/>
    <n v="3720"/>
    <n v="11778"/>
    <n v="70668"/>
    <n v="13426.92"/>
    <n v="84094.92"/>
    <n v="14015.82"/>
    <m/>
    <m/>
  </r>
  <r>
    <d v="2022-10-26T00:00:00"/>
    <n v="28902"/>
    <n v="7"/>
    <m/>
    <n v="6"/>
    <x v="8"/>
    <m/>
    <n v="12398"/>
    <m/>
    <n v="3720"/>
    <n v="11778"/>
    <n v="70668"/>
    <n v="13426.92"/>
    <n v="84094.92"/>
    <n v="14015.82"/>
    <m/>
    <m/>
  </r>
  <r>
    <d v="2022-10-26T00:00:00"/>
    <n v="28902"/>
    <n v="8"/>
    <m/>
    <n v="6"/>
    <x v="9"/>
    <m/>
    <n v="12398"/>
    <m/>
    <n v="3720"/>
    <n v="11778"/>
    <n v="70668"/>
    <n v="13426.92"/>
    <n v="84094.92"/>
    <n v="14015.82"/>
    <m/>
    <m/>
  </r>
  <r>
    <d v="2022-10-26T00:00:00"/>
    <n v="28902"/>
    <n v="9"/>
    <m/>
    <n v="5"/>
    <x v="10"/>
    <m/>
    <n v="16400"/>
    <m/>
    <n v="4095"/>
    <n v="15581"/>
    <n v="77905"/>
    <n v="14801.95"/>
    <n v="92706.95"/>
    <n v="18541.39"/>
    <m/>
    <m/>
  </r>
  <r>
    <d v="2022-10-26T00:00:00"/>
    <n v="28902"/>
    <n v="10"/>
    <m/>
    <n v="3"/>
    <x v="11"/>
    <m/>
    <n v="20772"/>
    <m/>
    <n v="3117"/>
    <n v="19733"/>
    <n v="59199"/>
    <n v="11247.81"/>
    <n v="70446.81"/>
    <n v="23482.27"/>
    <m/>
    <m/>
  </r>
  <r>
    <d v="2022-11-28T00:00:00"/>
    <n v="32656"/>
    <n v="1"/>
    <m/>
    <n v="1"/>
    <x v="12"/>
    <m/>
    <n v="8245"/>
    <s v="UND"/>
    <n v="0"/>
    <n v="8245"/>
    <n v="8245"/>
    <n v="1566.55"/>
    <n v="9811.5499999999993"/>
    <n v="9811.5499999999993"/>
    <m/>
    <m/>
  </r>
  <r>
    <d v="2022-12-07T00:00:00"/>
    <n v="31172"/>
    <n v="1"/>
    <m/>
    <n v="14"/>
    <x v="6"/>
    <m/>
    <n v="12398"/>
    <s v="UND"/>
    <n v="8680"/>
    <n v="11778"/>
    <n v="164892"/>
    <n v="31329.48"/>
    <n v="196221.48"/>
    <n v="14015.820000000002"/>
    <m/>
    <m/>
  </r>
  <r>
    <d v="2022-12-07T00:00:00"/>
    <n v="31172"/>
    <n v="2"/>
    <m/>
    <n v="9"/>
    <x v="7"/>
    <m/>
    <n v="12398"/>
    <s v="UND"/>
    <n v="5580"/>
    <n v="11778"/>
    <n v="106002"/>
    <n v="20140.38"/>
    <n v="126142.38"/>
    <n v="14015.82"/>
    <m/>
    <m/>
  </r>
  <r>
    <d v="2022-12-07T00:00:00"/>
    <n v="31172"/>
    <n v="3"/>
    <m/>
    <n v="11"/>
    <x v="0"/>
    <m/>
    <n v="12398"/>
    <s v="UND"/>
    <n v="6820"/>
    <n v="11778"/>
    <n v="129558"/>
    <n v="24616.02"/>
    <n v="154174.01999999999"/>
    <n v="14015.82"/>
    <m/>
    <m/>
  </r>
  <r>
    <d v="2022-12-07T00:00:00"/>
    <n v="31172"/>
    <n v="4"/>
    <m/>
    <n v="11"/>
    <x v="8"/>
    <m/>
    <n v="12398"/>
    <s v="UND"/>
    <n v="6820"/>
    <n v="11778"/>
    <n v="129558"/>
    <n v="24616.02"/>
    <n v="154174.01999999999"/>
    <n v="14015.82"/>
    <m/>
    <m/>
  </r>
  <r>
    <d v="2022-12-07T00:00:00"/>
    <n v="31172"/>
    <n v="5"/>
    <m/>
    <n v="14"/>
    <x v="9"/>
    <m/>
    <n v="12398"/>
    <s v="UND"/>
    <n v="8680"/>
    <n v="11778"/>
    <n v="164892"/>
    <n v="31329.48"/>
    <n v="196221.48"/>
    <n v="14015.820000000002"/>
    <m/>
    <m/>
  </r>
  <r>
    <d v="2022-12-07T00:00:00"/>
    <n v="31172"/>
    <n v="6"/>
    <m/>
    <n v="4"/>
    <x v="13"/>
    <m/>
    <n v="26050"/>
    <s v="UND"/>
    <n v="5380"/>
    <n v="24705"/>
    <n v="98820"/>
    <n v="18775.8"/>
    <n v="117595.8"/>
    <n v="29398.95"/>
    <m/>
    <s v="ETNIKER CURL DEFINING GEL 1000 ML LMAR"/>
  </r>
  <r>
    <d v="2022-12-19T00:00:00"/>
    <n v="31655"/>
    <n v="1"/>
    <m/>
    <n v="2"/>
    <x v="3"/>
    <m/>
    <n v="8592"/>
    <s v="UND"/>
    <n v="0"/>
    <n v="8592"/>
    <n v="17184"/>
    <n v="3264.96"/>
    <n v="20448.96"/>
    <n v="10224.48"/>
    <m/>
    <s v="ETNIKER REFRESCANTE RIZOS * 300 ML LMAR"/>
  </r>
  <r>
    <d v="2022-12-19T00:00:00"/>
    <n v="31655"/>
    <n v="2"/>
    <m/>
    <n v="6"/>
    <x v="4"/>
    <m/>
    <n v="106639"/>
    <s v="UND"/>
    <n v="173922"/>
    <n v="77652"/>
    <n v="465912"/>
    <n v="88523.28"/>
    <n v="554435.28"/>
    <n v="92405.88"/>
    <m/>
    <s v="ETNIKER HYDROELIXIR * 38 ML LMAR"/>
  </r>
  <r>
    <d v="2022-12-19T00:00:00"/>
    <n v="31655"/>
    <n v="3"/>
    <m/>
    <n v="2"/>
    <x v="14"/>
    <m/>
    <n v="10567"/>
    <s v="UND"/>
    <n v="4227"/>
    <n v="8453.5"/>
    <n v="16907"/>
    <n v="3212.33"/>
    <n v="20119.330000000002"/>
    <n v="10059.665000000001"/>
    <m/>
    <s v="BB CREAM * 250 GR LMAR"/>
  </r>
  <r>
    <d v="2022-12-19T00:00:00"/>
    <n v="31655"/>
    <n v="4"/>
    <m/>
    <n v="2"/>
    <x v="15"/>
    <m/>
    <n v="10365"/>
    <s v="UND"/>
    <n v="0"/>
    <n v="10365"/>
    <n v="20730"/>
    <n v="3938.7000000000003"/>
    <n v="24668.7"/>
    <n v="12334.35"/>
    <m/>
    <s v="ETNIKER SH LIMPIEZA PROFUNDA 250 ML LMAR"/>
  </r>
  <r>
    <d v="2022-12-19T00:00:00"/>
    <n v="31655"/>
    <n v="5"/>
    <m/>
    <n v="6"/>
    <x v="16"/>
    <m/>
    <n v="41143"/>
    <s v="UND"/>
    <n v="25710"/>
    <n v="36858"/>
    <n v="221148"/>
    <n v="42018.12"/>
    <n v="263166.12"/>
    <n v="43861.02"/>
    <m/>
    <s v="ETNIKER HYDROELIXIR * 38 ML LMAR"/>
  </r>
  <r>
    <d v="2022-12-19T00:00:00"/>
    <n v="31655"/>
    <n v="6"/>
    <m/>
    <n v="10"/>
    <x v="17"/>
    <m/>
    <n v="120000"/>
    <s v="UND"/>
    <n v="85710"/>
    <n v="111429"/>
    <n v="1114290"/>
    <n v="211715.1"/>
    <n v="1326005.1000000001"/>
    <n v="132600.51"/>
    <m/>
    <s v="ETNIKER HYDROELIXIR * 38 ML LMAR"/>
  </r>
  <r>
    <d v="2022-12-19T00:00:00"/>
    <n v="31655"/>
    <n v="7"/>
    <m/>
    <n v="9"/>
    <x v="6"/>
    <m/>
    <n v="12398"/>
    <s v="UND"/>
    <n v="5580"/>
    <n v="11778"/>
    <n v="106002"/>
    <n v="20140.38"/>
    <n v="126142.38"/>
    <n v="14015.82"/>
    <m/>
    <s v="ETNIKER CREMA PEINAR 290 ML LMAR"/>
  </r>
  <r>
    <d v="2022-12-19T00:00:00"/>
    <n v="31655"/>
    <n v="8"/>
    <m/>
    <n v="7"/>
    <x v="7"/>
    <m/>
    <n v="12398"/>
    <s v="UND"/>
    <n v="4340"/>
    <n v="11778"/>
    <n v="82446"/>
    <n v="15664.74"/>
    <n v="98110.74"/>
    <n v="14015.820000000002"/>
    <m/>
    <s v="ETNIKER MASC * 300 GR LMAR"/>
  </r>
  <r>
    <d v="2022-12-19T00:00:00"/>
    <n v="31655"/>
    <n v="9"/>
    <m/>
    <n v="11"/>
    <x v="0"/>
    <m/>
    <n v="12398"/>
    <s v="UND"/>
    <n v="6820"/>
    <n v="11778"/>
    <n v="129558"/>
    <n v="24616.02"/>
    <n v="154174.01999999999"/>
    <n v="14015.82"/>
    <m/>
    <s v="ETNIKER HYDROELIXIR * 38 ML LMAR"/>
  </r>
  <r>
    <d v="2022-12-19T00:00:00"/>
    <n v="31655"/>
    <n v="10"/>
    <m/>
    <n v="7"/>
    <x v="8"/>
    <m/>
    <n v="12398"/>
    <s v="UND"/>
    <n v="4340"/>
    <n v="11778"/>
    <n v="82446"/>
    <n v="15664.74"/>
    <n v="98110.74"/>
    <n v="14015.820000000002"/>
    <m/>
    <s v="ETNIKER SH 250 ML LMAR"/>
  </r>
  <r>
    <d v="2022-12-19T00:00:00"/>
    <n v="31655"/>
    <n v="11"/>
    <m/>
    <n v="8"/>
    <x v="9"/>
    <m/>
    <n v="12398"/>
    <s v="UND"/>
    <n v="4960"/>
    <n v="11778"/>
    <n v="94224"/>
    <n v="17902.560000000001"/>
    <n v="112126.56"/>
    <n v="14015.82"/>
    <m/>
    <s v="ETNIKER GEL FLUIDO * 300 GR LMAR"/>
  </r>
  <r>
    <d v="2022-12-19T00:00:00"/>
    <n v="31655"/>
    <n v="12"/>
    <m/>
    <n v="4"/>
    <x v="13"/>
    <m/>
    <n v="26050"/>
    <s v="UND"/>
    <n v="5380"/>
    <n v="24705"/>
    <n v="98820"/>
    <n v="18775.8"/>
    <n v="117595.8"/>
    <n v="29398.95"/>
    <m/>
    <s v="ETNIKER CURL DEFINING GEL 1000 ML LMAR"/>
  </r>
  <r>
    <d v="2022-12-19T00:00:00"/>
    <n v="31655"/>
    <n v="13"/>
    <m/>
    <n v="3"/>
    <x v="2"/>
    <m/>
    <n v="17269"/>
    <s v="UND"/>
    <n v="2646"/>
    <n v="16387"/>
    <n v="49161"/>
    <n v="9340.59"/>
    <n v="58501.59"/>
    <n v="19500.53"/>
    <m/>
    <m/>
  </r>
  <r>
    <d v="2023-12-22T00:00:00"/>
    <n v="31877"/>
    <n v="1"/>
    <m/>
    <n v="6"/>
    <x v="0"/>
    <m/>
    <n v="12398"/>
    <s v="UND"/>
    <n v="3720"/>
    <n v="11778"/>
    <n v="70668"/>
    <n v="13426.92"/>
    <n v="84094.92"/>
    <n v="14015.82"/>
    <m/>
    <m/>
  </r>
  <r>
    <d v="2023-12-22T00:00:00"/>
    <n v="31877"/>
    <n v="2"/>
    <m/>
    <n v="6"/>
    <x v="8"/>
    <m/>
    <n v="12398"/>
    <s v="UND"/>
    <n v="3720"/>
    <n v="11778"/>
    <n v="70668"/>
    <n v="13426.92"/>
    <n v="84094.92"/>
    <n v="14015.82"/>
    <m/>
    <m/>
  </r>
  <r>
    <d v="2023-12-22T00:00:00"/>
    <n v="31877"/>
    <n v="3"/>
    <m/>
    <n v="3"/>
    <x v="18"/>
    <m/>
    <n v="19389"/>
    <s v="UND"/>
    <n v="3327"/>
    <n v="18280"/>
    <n v="54840"/>
    <n v="10419.6"/>
    <n v="65259.6"/>
    <n v="21753.200000000001"/>
    <m/>
    <m/>
  </r>
  <r>
    <d v="2023-12-22T00:00:00"/>
    <n v="31877"/>
    <n v="4"/>
    <m/>
    <n v="4"/>
    <x v="19"/>
    <m/>
    <n v="17269"/>
    <s v="UND"/>
    <n v="3528"/>
    <n v="16387"/>
    <n v="65548"/>
    <n v="12454.12"/>
    <n v="78002.12"/>
    <n v="19500.53"/>
    <m/>
    <m/>
  </r>
  <r>
    <d v="2023-01-16T00:00:00"/>
    <n v="32065"/>
    <n v="1"/>
    <m/>
    <n v="2"/>
    <x v="20"/>
    <n v="19"/>
    <n v="8234"/>
    <s v="UND"/>
    <n v="0"/>
    <n v="8234"/>
    <n v="16468"/>
    <n v="3128.92"/>
    <n v="19596.919999999998"/>
    <n v="9798.4599999999991"/>
    <m/>
    <m/>
  </r>
  <r>
    <d v="2023-01-16T00:00:00"/>
    <n v="32065"/>
    <n v="2"/>
    <m/>
    <n v="1"/>
    <x v="21"/>
    <n v="19"/>
    <n v="7498"/>
    <s v="UND"/>
    <n v="0"/>
    <n v="7498"/>
    <n v="7498"/>
    <n v="1424.6200000000001"/>
    <n v="8922.6200000000008"/>
    <n v="8922.6200000000008"/>
    <m/>
    <m/>
  </r>
  <r>
    <d v="2023-01-16T00:00:00"/>
    <n v="32065"/>
    <n v="3"/>
    <m/>
    <n v="1"/>
    <x v="21"/>
    <n v="19"/>
    <n v="7498"/>
    <s v="UND"/>
    <n v="0"/>
    <n v="7498"/>
    <n v="7498"/>
    <n v="1424.6200000000001"/>
    <n v="8922.6200000000008"/>
    <n v="8922.6200000000008"/>
    <m/>
    <m/>
  </r>
  <r>
    <d v="2023-01-16T00:00:00"/>
    <n v="32065"/>
    <n v="4"/>
    <m/>
    <n v="1"/>
    <x v="22"/>
    <n v="19"/>
    <n v="9307"/>
    <s v="UND"/>
    <n v="0"/>
    <n v="9307"/>
    <n v="9307"/>
    <n v="1768.33"/>
    <n v="11075.33"/>
    <n v="11075.33"/>
    <m/>
    <m/>
  </r>
  <r>
    <d v="2023-01-16T00:00:00"/>
    <n v="32065"/>
    <n v="5"/>
    <m/>
    <n v="6"/>
    <x v="4"/>
    <n v="19"/>
    <n v="120502"/>
    <s v="UND"/>
    <n v="196530"/>
    <n v="87747"/>
    <n v="526482"/>
    <n v="100031.58"/>
    <n v="626513.57999999996"/>
    <n v="104418.93"/>
    <m/>
    <m/>
  </r>
  <r>
    <d v="2023-01-16T00:00:00"/>
    <n v="32065"/>
    <n v="6"/>
    <m/>
    <n v="3"/>
    <x v="15"/>
    <n v="19"/>
    <n v="11712"/>
    <s v="UND"/>
    <n v="0"/>
    <n v="11712"/>
    <n v="35136"/>
    <n v="6675.84"/>
    <n v="41811.839999999997"/>
    <n v="13937.279999999999"/>
    <m/>
    <m/>
  </r>
  <r>
    <d v="2023-01-16T00:00:00"/>
    <n v="32065"/>
    <n v="7"/>
    <m/>
    <n v="8"/>
    <x v="6"/>
    <n v="19"/>
    <n v="14010"/>
    <s v="UND"/>
    <n v="5608"/>
    <n v="13309"/>
    <n v="106472"/>
    <n v="20229.68"/>
    <n v="126701.68"/>
    <n v="15837.71"/>
    <m/>
    <m/>
  </r>
  <r>
    <d v="2023-01-16T00:00:00"/>
    <n v="32065"/>
    <n v="8"/>
    <m/>
    <n v="7"/>
    <x v="7"/>
    <n v="19"/>
    <n v="14010"/>
    <s v="UND"/>
    <n v="4907"/>
    <n v="13309"/>
    <n v="93163"/>
    <n v="17700.97"/>
    <n v="110863.97"/>
    <n v="15837.710000000001"/>
    <m/>
    <m/>
  </r>
  <r>
    <d v="2023-01-16T00:00:00"/>
    <n v="32065"/>
    <n v="9"/>
    <m/>
    <n v="6"/>
    <x v="8"/>
    <n v="19"/>
    <n v="14010"/>
    <s v="UND"/>
    <n v="4206"/>
    <n v="13309"/>
    <n v="79854"/>
    <n v="15172.26"/>
    <n v="95026.26"/>
    <n v="15837.71"/>
    <m/>
    <m/>
  </r>
  <r>
    <d v="2023-01-16T00:00:00"/>
    <n v="32065"/>
    <n v="10"/>
    <m/>
    <n v="8"/>
    <x v="9"/>
    <n v="19"/>
    <n v="14010"/>
    <s v="UND"/>
    <n v="5608"/>
    <n v="13309"/>
    <n v="106472"/>
    <n v="20229.68"/>
    <n v="126701.68"/>
    <n v="15837.71"/>
    <m/>
    <m/>
  </r>
  <r>
    <d v="2023-01-16T00:00:00"/>
    <n v="32065"/>
    <n v="11"/>
    <m/>
    <n v="3"/>
    <x v="10"/>
    <n v="19"/>
    <n v="18532"/>
    <s v="UND"/>
    <n v="2775"/>
    <n v="17607"/>
    <n v="52821"/>
    <n v="10035.99"/>
    <n v="62856.99"/>
    <n v="20952.329999999998"/>
    <m/>
    <m/>
  </r>
  <r>
    <d v="2023-01-16T00:00:00"/>
    <n v="32065"/>
    <n v="12"/>
    <m/>
    <n v="3"/>
    <x v="11"/>
    <n v="19"/>
    <n v="23472"/>
    <s v="UND"/>
    <n v="3522"/>
    <n v="22298"/>
    <n v="66894"/>
    <n v="12709.86"/>
    <n v="79603.86"/>
    <n v="26534.62"/>
    <m/>
    <m/>
  </r>
  <r>
    <d v="2023-01-23T00:00:00"/>
    <n v="32333"/>
    <n v="1"/>
    <m/>
    <n v="6"/>
    <x v="17"/>
    <n v="19"/>
    <n v="135600"/>
    <s v="UND"/>
    <n v="58110"/>
    <n v="125915"/>
    <n v="755490"/>
    <n v="143543.1"/>
    <n v="899033.1"/>
    <n v="149838.85"/>
    <m/>
    <m/>
  </r>
  <r>
    <d v="2023-01-26T00:00:00"/>
    <n v="32457"/>
    <n v="1"/>
    <m/>
    <n v="3"/>
    <x v="23"/>
    <n v="19"/>
    <n v="9015"/>
    <s v="UND"/>
    <n v="1365"/>
    <n v="8560"/>
    <n v="25680"/>
    <n v="4879.2"/>
    <n v="30559.200000000001"/>
    <n v="10186.4"/>
    <m/>
    <m/>
  </r>
  <r>
    <d v="2023-01-26T00:00:00"/>
    <n v="32457"/>
    <n v="2"/>
    <m/>
    <n v="3"/>
    <x v="24"/>
    <n v="19"/>
    <n v="9561"/>
    <s v="UND"/>
    <n v="1842"/>
    <n v="8947"/>
    <n v="26841"/>
    <n v="5099.79"/>
    <n v="31940.79"/>
    <n v="10646.93"/>
    <m/>
    <m/>
  </r>
  <r>
    <d v="2023-01-26T00:00:00"/>
    <n v="32457"/>
    <n v="3"/>
    <m/>
    <n v="6"/>
    <x v="0"/>
    <n v="19"/>
    <n v="14010"/>
    <s v="UND"/>
    <n v="4206"/>
    <n v="13309"/>
    <n v="79854"/>
    <n v="15172.26"/>
    <n v="95026.26"/>
    <n v="15837.71"/>
    <m/>
    <m/>
  </r>
  <r>
    <d v="2023-01-26T00:00:00"/>
    <n v="32457"/>
    <n v="4"/>
    <m/>
    <n v="3"/>
    <x v="25"/>
    <n v="19"/>
    <n v="11924"/>
    <s v="UND"/>
    <n v="1872"/>
    <n v="11300"/>
    <n v="33900"/>
    <n v="6441"/>
    <n v="40341"/>
    <n v="13447"/>
    <m/>
    <m/>
  </r>
  <r>
    <d v="2023-01-26T00:00:00"/>
    <n v="32457"/>
    <n v="5"/>
    <m/>
    <n v="6"/>
    <x v="0"/>
    <n v="19"/>
    <n v="14010"/>
    <s v="UND"/>
    <n v="4206"/>
    <n v="13309"/>
    <n v="79854"/>
    <n v="15172.26"/>
    <n v="95026.26"/>
    <n v="15837.71"/>
    <m/>
    <m/>
  </r>
  <r>
    <d v="2023-01-26T00:00:00"/>
    <n v="32457"/>
    <n v="6"/>
    <m/>
    <n v="3"/>
    <x v="26"/>
    <n v="19"/>
    <n v="23956"/>
    <s v="UND"/>
    <n v="3594"/>
    <n v="22758"/>
    <n v="68274"/>
    <n v="12972.06"/>
    <n v="81246.06"/>
    <n v="27082.02"/>
    <m/>
    <m/>
  </r>
  <r>
    <d v="2023-01-26T00:00:00"/>
    <n v="32457"/>
    <n v="7"/>
    <m/>
    <n v="2"/>
    <x v="27"/>
    <n v="19"/>
    <n v="19514"/>
    <s v="UND"/>
    <n v="0"/>
    <n v="19514"/>
    <n v="39028"/>
    <n v="7415.32"/>
    <n v="46443.32"/>
    <n v="23221.66"/>
    <m/>
    <m/>
  </r>
  <r>
    <d v="2023-02-03T00:00:00"/>
    <n v="32736"/>
    <n v="1"/>
    <m/>
    <n v="2"/>
    <x v="28"/>
    <n v="19"/>
    <n v="13592"/>
    <s v="UND"/>
    <n v="4632"/>
    <n v="11276"/>
    <n v="22552"/>
    <n v="4284.88"/>
    <n v="26836.880000000001"/>
    <n v="13418.44"/>
    <m/>
    <m/>
  </r>
  <r>
    <d v="2023-02-03T00:00:00"/>
    <n v="32736"/>
    <n v="2"/>
    <m/>
    <n v="1"/>
    <x v="28"/>
    <n v="19"/>
    <n v="13592"/>
    <s v="UND"/>
    <n v="2316"/>
    <n v="11276"/>
    <n v="11276"/>
    <n v="2142.44"/>
    <n v="13418.44"/>
    <n v="13418.44"/>
    <m/>
    <m/>
  </r>
  <r>
    <d v="2023-02-03T00:00:00"/>
    <n v="32736"/>
    <n v="3"/>
    <m/>
    <n v="2"/>
    <x v="28"/>
    <n v="19"/>
    <n v="13592"/>
    <s v="UND"/>
    <n v="4632"/>
    <n v="11276"/>
    <n v="22552"/>
    <n v="4284.88"/>
    <n v="26836.880000000001"/>
    <n v="13418.44"/>
    <m/>
    <m/>
  </r>
  <r>
    <d v="2023-02-03T00:00:00"/>
    <n v="32736"/>
    <n v="4"/>
    <m/>
    <n v="1"/>
    <x v="28"/>
    <n v="19"/>
    <n v="13592"/>
    <s v="UND"/>
    <n v="2316"/>
    <n v="11276"/>
    <n v="11276"/>
    <n v="2142.44"/>
    <n v="13418.44"/>
    <n v="13418.44"/>
    <m/>
    <m/>
  </r>
  <r>
    <d v="2023-02-03T00:00:00"/>
    <n v="32736"/>
    <n v="5"/>
    <m/>
    <n v="6"/>
    <x v="29"/>
    <n v="19"/>
    <n v="12213"/>
    <s v="UND"/>
    <n v="4296"/>
    <n v="11497"/>
    <n v="68982"/>
    <n v="13106.58"/>
    <n v="82088.58"/>
    <n v="13681.43"/>
    <m/>
    <m/>
  </r>
  <r>
    <d v="2023-02-08T00:00:00"/>
    <n v="32932"/>
    <n v="1"/>
    <m/>
    <n v="11"/>
    <x v="6"/>
    <n v="19"/>
    <n v="14010"/>
    <s v="UND"/>
    <n v="7711"/>
    <n v="13309"/>
    <n v="146399"/>
    <n v="27815.81"/>
    <n v="174214.81"/>
    <n v="15837.71"/>
    <m/>
    <m/>
  </r>
  <r>
    <d v="2023-02-08T00:00:00"/>
    <n v="32932"/>
    <n v="2"/>
    <m/>
    <n v="11"/>
    <x v="7"/>
    <n v="19"/>
    <n v="14010"/>
    <s v="UND"/>
    <n v="7711"/>
    <n v="13309"/>
    <n v="146399"/>
    <n v="27815.81"/>
    <n v="174214.81"/>
    <n v="15837.71"/>
    <m/>
    <m/>
  </r>
  <r>
    <d v="2023-02-08T00:00:00"/>
    <n v="32932"/>
    <n v="3"/>
    <m/>
    <n v="6"/>
    <x v="0"/>
    <n v="19"/>
    <n v="14010"/>
    <s v="UND"/>
    <n v="4206"/>
    <n v="13309"/>
    <n v="79854"/>
    <n v="15172.26"/>
    <n v="95026.26"/>
    <n v="15837.71"/>
    <m/>
    <m/>
  </r>
  <r>
    <d v="2023-02-08T00:00:00"/>
    <n v="32932"/>
    <n v="4"/>
    <m/>
    <n v="8"/>
    <x v="8"/>
    <n v="19"/>
    <n v="14010"/>
    <s v="UND"/>
    <n v="5608"/>
    <n v="13309"/>
    <n v="106472"/>
    <n v="20229.68"/>
    <n v="126701.68"/>
    <n v="15837.71"/>
    <m/>
    <m/>
  </r>
  <r>
    <d v="2023-02-08T00:00:00"/>
    <n v="32932"/>
    <n v="5"/>
    <m/>
    <n v="11"/>
    <x v="9"/>
    <n v="19"/>
    <n v="14010"/>
    <s v="UND"/>
    <n v="7711"/>
    <n v="13309"/>
    <n v="146399"/>
    <n v="27815.81"/>
    <n v="174214.81"/>
    <n v="15837.71"/>
    <m/>
    <m/>
  </r>
  <r>
    <d v="2023-02-08T00:00:00"/>
    <n v="32932"/>
    <n v="6"/>
    <m/>
    <n v="3"/>
    <x v="10"/>
    <n v="19"/>
    <n v="18532"/>
    <s v="UND"/>
    <n v="2775"/>
    <n v="17607"/>
    <n v="52821"/>
    <n v="10035.99"/>
    <n v="62856.99"/>
    <n v="20952.329999999998"/>
    <m/>
    <m/>
  </r>
  <r>
    <d v="2023-02-08T00:00:00"/>
    <n v="32932"/>
    <n v="7"/>
    <m/>
    <n v="3"/>
    <x v="11"/>
    <n v="19"/>
    <n v="23472"/>
    <s v="UND"/>
    <n v="3522"/>
    <n v="22298"/>
    <n v="66894"/>
    <n v="12709.86"/>
    <n v="79603.86"/>
    <n v="26534.62"/>
    <m/>
    <m/>
  </r>
  <r>
    <d v="2023-02-08T00:00:00"/>
    <n v="32932"/>
    <n v="8"/>
    <m/>
    <n v="4"/>
    <x v="13"/>
    <n v="19"/>
    <n v="29437"/>
    <s v="UND"/>
    <n v="6080"/>
    <n v="27917"/>
    <n v="111668"/>
    <n v="21216.920000000002"/>
    <n v="132884.92000000001"/>
    <n v="33221.230000000003"/>
    <m/>
    <s v="ETNIKER CURL DEFINING GEL 1000 ML LMAR"/>
  </r>
  <r>
    <d v="2023-03-15T00:00:00"/>
    <n v="34043"/>
    <n v="1"/>
    <m/>
    <n v="6"/>
    <x v="17"/>
    <n v="19"/>
    <n v="135600"/>
    <s v="UND"/>
    <n v="58110"/>
    <n v="125915"/>
    <n v="755490"/>
    <n v="143543.1"/>
    <n v="899033.1"/>
    <n v="149838.85"/>
    <m/>
    <m/>
  </r>
  <r>
    <d v="2023-03-15T00:00:00"/>
    <n v="34043"/>
    <n v="2"/>
    <m/>
    <n v="7"/>
    <x v="6"/>
    <n v="19"/>
    <n v="14010"/>
    <s v="UND"/>
    <n v="4907"/>
    <n v="13309"/>
    <n v="93163"/>
    <n v="17700.97"/>
    <n v="110863.97"/>
    <n v="15837.710000000001"/>
    <m/>
    <m/>
  </r>
  <r>
    <d v="2023-03-15T00:00:00"/>
    <n v="34043"/>
    <n v="3"/>
    <m/>
    <n v="6"/>
    <x v="7"/>
    <n v="19"/>
    <n v="14010"/>
    <s v="UND"/>
    <n v="4206"/>
    <n v="13309"/>
    <n v="79854"/>
    <n v="15172.26"/>
    <n v="95026.26"/>
    <n v="15837.71"/>
    <m/>
    <m/>
  </r>
  <r>
    <d v="2023-03-15T00:00:00"/>
    <n v="34043"/>
    <n v="4"/>
    <m/>
    <n v="8"/>
    <x v="0"/>
    <n v="19"/>
    <n v="14010"/>
    <s v="UND"/>
    <n v="5608"/>
    <n v="13309"/>
    <n v="106472"/>
    <n v="20229.68"/>
    <n v="126701.68"/>
    <n v="15837.71"/>
    <m/>
    <m/>
  </r>
  <r>
    <d v="2023-03-15T00:00:00"/>
    <n v="34043"/>
    <n v="5"/>
    <m/>
    <n v="13"/>
    <x v="9"/>
    <n v="19"/>
    <n v="14010"/>
    <s v="UND"/>
    <n v="9113"/>
    <n v="13309"/>
    <n v="173017"/>
    <n v="32873.230000000003"/>
    <n v="205890.23"/>
    <n v="15837.710000000001"/>
    <m/>
    <m/>
  </r>
  <r>
    <d v="2023-03-17T00:00:00"/>
    <n v="34127"/>
    <n v="1"/>
    <m/>
    <n v="6"/>
    <x v="4"/>
    <n v="19"/>
    <n v="120502"/>
    <s v="UND"/>
    <n v="196530"/>
    <n v="87747"/>
    <n v="526482"/>
    <n v="100031.58"/>
    <n v="626513.57999999996"/>
    <n v="104418.93"/>
    <m/>
    <m/>
  </r>
  <r>
    <d v="2023-03-17T00:00:00"/>
    <n v="34127"/>
    <n v="2"/>
    <m/>
    <n v="2"/>
    <x v="30"/>
    <n v="19"/>
    <n v="12972"/>
    <s v="UND"/>
    <n v="0"/>
    <n v="12972"/>
    <n v="25944"/>
    <n v="4929.3599999999997"/>
    <n v="30873.360000000001"/>
    <n v="15436.68"/>
    <m/>
    <m/>
  </r>
  <r>
    <d v="2023-03-17T00:00:00"/>
    <n v="34127"/>
    <n v="3"/>
    <m/>
    <n v="1"/>
    <x v="31"/>
    <n v="19"/>
    <n v="12972"/>
    <s v="UND"/>
    <n v="0"/>
    <n v="12972"/>
    <n v="12972"/>
    <n v="2464.6799999999998"/>
    <n v="15436.68"/>
    <n v="15436.68"/>
    <m/>
    <e v="#N/A"/>
  </r>
  <r>
    <d v="2023-03-17T00:00:00"/>
    <n v="34127"/>
    <n v="4"/>
    <m/>
    <n v="1"/>
    <x v="29"/>
    <n v="19"/>
    <n v="12213"/>
    <s v="UND"/>
    <n v="0"/>
    <n v="12213"/>
    <n v="12213"/>
    <n v="2320.4699999999998"/>
    <n v="14533.47"/>
    <n v="14533.47"/>
    <m/>
    <s v="ETNIKER REFRESCANTE RIZOS * 300 ML LMAR"/>
  </r>
  <r>
    <d v="2023-03-17T00:00:00"/>
    <n v="34127"/>
    <n v="5"/>
    <m/>
    <n v="3"/>
    <x v="32"/>
    <n v="19"/>
    <n v="8894"/>
    <s v="UND"/>
    <n v="1335"/>
    <n v="8449"/>
    <n v="25347"/>
    <n v="4815.93"/>
    <n v="30162.93"/>
    <n v="10054.31"/>
    <m/>
    <s v="ETNIKER REFRESCANTE RIZOS * 300 ML LMAR"/>
  </r>
  <r>
    <d v="2023-03-17T00:00:00"/>
    <n v="34127"/>
    <n v="6"/>
    <m/>
    <n v="2"/>
    <x v="25"/>
    <n v="19"/>
    <n v="11924"/>
    <s v="UND"/>
    <n v="0"/>
    <n v="11924"/>
    <n v="23848"/>
    <n v="4531.12"/>
    <n v="28379.119999999999"/>
    <n v="14189.56"/>
    <m/>
    <s v="ETNIKER MASC * 570 GR LMAR"/>
  </r>
  <r>
    <d v="2023-03-17T00:00:00"/>
    <n v="34127"/>
    <n v="7"/>
    <m/>
    <n v="3"/>
    <x v="33"/>
    <n v="19"/>
    <n v="12142"/>
    <s v="UND"/>
    <n v="1821"/>
    <n v="11535"/>
    <n v="34605"/>
    <n v="6574.95"/>
    <n v="41179.949999999997"/>
    <n v="13726.65"/>
    <m/>
    <s v="ETNIKER HYDROELIXIR * 38 ML LMAR"/>
  </r>
  <r>
    <d v="2023-03-17T00:00:00"/>
    <n v="34127"/>
    <n v="8"/>
    <m/>
    <n v="3"/>
    <x v="15"/>
    <n v="19"/>
    <n v="11712"/>
    <s v="UND"/>
    <n v="0"/>
    <n v="11712"/>
    <n v="35136"/>
    <n v="6675.84"/>
    <n v="41811.839999999997"/>
    <n v="13937.279999999999"/>
    <m/>
    <s v="ETNIKER SH LIMPIEZA PROFUNDA 250 ML LMAR"/>
  </r>
  <r>
    <d v="2023-03-17T00:00:00"/>
    <n v="34127"/>
    <n v="9"/>
    <m/>
    <n v="6"/>
    <x v="8"/>
    <n v="19"/>
    <n v="14010"/>
    <s v="UND"/>
    <n v="4206"/>
    <n v="13309"/>
    <n v="79854"/>
    <n v="15172.26"/>
    <n v="95026.26"/>
    <n v="15837.71"/>
    <m/>
    <s v="ETNIKER SH 250 ML LMAR"/>
  </r>
  <r>
    <d v="2023-02-13T00:00:00"/>
    <n v="33098"/>
    <n v="1"/>
    <m/>
    <n v="6"/>
    <x v="15"/>
    <n v="19"/>
    <n v="11712"/>
    <s v="UND"/>
    <n v="0"/>
    <n v="11712"/>
    <n v="70272"/>
    <n v="13351.68"/>
    <n v="83623.679999999993"/>
    <n v="13937.279999999999"/>
    <m/>
    <s v="ETNIKER SH LIMPIEZA PROFUNDA 250 ML LMAR"/>
  </r>
  <r>
    <d v="2023-02-13T00:00:00"/>
    <n v="33098"/>
    <n v="2"/>
    <m/>
    <n v="6"/>
    <x v="17"/>
    <n v="19"/>
    <n v="135600"/>
    <s v="UND"/>
    <n v="58110"/>
    <n v="125915"/>
    <n v="755490"/>
    <n v="143543.1"/>
    <n v="899033.1"/>
    <n v="149838.85"/>
    <m/>
    <s v="ETNIKER HYDROELIXIR * 38 ML LMAR"/>
  </r>
  <r>
    <d v="2023-04-01T00:00:00"/>
    <n v="34579"/>
    <n v="1"/>
    <m/>
    <n v="6"/>
    <x v="15"/>
    <n v="19"/>
    <n v="11712"/>
    <s v="UND"/>
    <n v="0"/>
    <n v="11712"/>
    <n v="70272"/>
    <n v="13351.68"/>
    <n v="83623.679999999993"/>
    <n v="13937.279999999999"/>
    <m/>
    <s v="ETNIKER SH LIMPIEZA PROFUNDA 250 ML LMAR"/>
  </r>
  <r>
    <d v="2023-04-01T00:00:00"/>
    <n v="34579"/>
    <n v="2"/>
    <m/>
    <n v="6"/>
    <x v="17"/>
    <n v="19"/>
    <n v="135600"/>
    <s v="UND"/>
    <n v="58110"/>
    <n v="125915"/>
    <n v="755490"/>
    <n v="143543.1"/>
    <n v="899033.1"/>
    <n v="149838.85"/>
    <m/>
    <s v="ETNIKER HYDROELIXIR * 38 ML LMAR"/>
  </r>
  <r>
    <d v="2023-04-01T00:00:00"/>
    <n v="34579"/>
    <n v="3"/>
    <m/>
    <n v="6"/>
    <x v="8"/>
    <n v="19"/>
    <n v="14010"/>
    <s v="UND"/>
    <n v="4206"/>
    <n v="13309"/>
    <n v="79854"/>
    <n v="15172.26"/>
    <n v="95026.26"/>
    <n v="15837.71"/>
    <m/>
    <s v="ETNIKER SH 250 ML LMAR"/>
  </r>
  <r>
    <d v="2023-04-10T00:00:00"/>
    <n v="34624"/>
    <n v="1"/>
    <m/>
    <n v="2"/>
    <x v="21"/>
    <n v="19"/>
    <n v="7498"/>
    <s v="UND"/>
    <n v="1222"/>
    <n v="6887"/>
    <n v="13774"/>
    <n v="2617.06"/>
    <n v="16391.060000000001"/>
    <n v="8195.5300000000007"/>
    <m/>
    <s v="ETNIKER REFRESCANTE RIZOS * 300 ML LMAR"/>
  </r>
  <r>
    <d v="2023-04-10T00:00:00"/>
    <n v="34624"/>
    <n v="2"/>
    <m/>
    <n v="2"/>
    <x v="21"/>
    <n v="19"/>
    <n v="7498"/>
    <s v="UND"/>
    <n v="1222"/>
    <n v="6887"/>
    <n v="13774"/>
    <n v="2617.06"/>
    <n v="16391.060000000001"/>
    <n v="8195.5300000000007"/>
    <m/>
    <s v="ETNIKER REFRESCANTE RIZOS * 300 ML LMAR"/>
  </r>
  <r>
    <d v="2023-04-10T00:00:00"/>
    <n v="34624"/>
    <n v="3"/>
    <m/>
    <n v="2"/>
    <x v="34"/>
    <n v="19"/>
    <n v="7498"/>
    <s v="UND"/>
    <n v="1222"/>
    <n v="6887"/>
    <n v="13774"/>
    <n v="2617.06"/>
    <n v="16391.060000000001"/>
    <n v="8195.5300000000007"/>
    <m/>
    <s v="ETNIKER REFRESCANTE RIZOS * 300 ML LMAR"/>
  </r>
  <r>
    <d v="2023-04-10T00:00:00"/>
    <n v="34624"/>
    <n v="4"/>
    <m/>
    <n v="2"/>
    <x v="21"/>
    <n v="19"/>
    <n v="7498"/>
    <s v="UND"/>
    <n v="1222"/>
    <n v="6887"/>
    <n v="13774"/>
    <n v="2617.06"/>
    <n v="16391.060000000001"/>
    <n v="8195.5300000000007"/>
    <m/>
    <s v="ETNIKER REFRESCANTE RIZOS * 300 ML LMAR"/>
  </r>
  <r>
    <d v="2023-04-10T00:00:00"/>
    <n v="34624"/>
    <n v="5"/>
    <m/>
    <n v="3"/>
    <x v="21"/>
    <n v="19"/>
    <n v="7498"/>
    <s v="UND"/>
    <n v="1833"/>
    <n v="6887"/>
    <n v="20661"/>
    <n v="3925.59"/>
    <n v="24586.59"/>
    <n v="8195.5300000000007"/>
    <m/>
    <s v="ETNIKER REFRESCANTE RIZOS * 300 ML LMAR"/>
  </r>
  <r>
    <d v="2023-04-10T00:00:00"/>
    <n v="34624"/>
    <n v="6"/>
    <m/>
    <n v="2"/>
    <x v="28"/>
    <n v="19"/>
    <n v="13592"/>
    <s v="UND"/>
    <n v="0"/>
    <n v="13592"/>
    <n v="27184"/>
    <n v="5164.96"/>
    <n v="32348.959999999999"/>
    <n v="16174.48"/>
    <m/>
    <s v="ETNIKER REFRESCANTE RIZOS * 300 ML LMAR"/>
  </r>
  <r>
    <d v="2023-04-10T00:00:00"/>
    <n v="34624"/>
    <n v="7"/>
    <m/>
    <n v="1"/>
    <x v="28"/>
    <n v="19"/>
    <n v="13592"/>
    <s v="UND"/>
    <n v="0"/>
    <n v="13592"/>
    <n v="13592"/>
    <n v="2582.48"/>
    <n v="16174.48"/>
    <n v="16174.48"/>
    <m/>
    <s v="ETNIKER REFRESCANTE RIZOS * 300 ML LMAR"/>
  </r>
  <r>
    <d v="2023-04-10T00:00:00"/>
    <n v="34624"/>
    <n v="8"/>
    <m/>
    <n v="2"/>
    <x v="23"/>
    <n v="19"/>
    <n v="9015"/>
    <s v="UND"/>
    <n v="0"/>
    <n v="9015"/>
    <n v="18030"/>
    <n v="3425.7"/>
    <n v="21455.7"/>
    <n v="10727.85"/>
    <m/>
    <s v="ETNIKER REFRESCANTE RIZOS * 300 ML LMAR"/>
  </r>
  <r>
    <d v="2023-04-10T00:00:00"/>
    <n v="34624"/>
    <n v="9"/>
    <m/>
    <n v="3"/>
    <x v="24"/>
    <n v="19"/>
    <n v="9561"/>
    <s v="UND"/>
    <n v="1842"/>
    <n v="8947"/>
    <n v="26841"/>
    <n v="5099.79"/>
    <n v="31940.79"/>
    <n v="10646.93"/>
    <m/>
    <e v="#N/A"/>
  </r>
  <r>
    <d v="2023-04-10T00:00:00"/>
    <n v="34624"/>
    <n v="10"/>
    <m/>
    <n v="30"/>
    <x v="35"/>
    <n v="19"/>
    <n v="10961"/>
    <s v="UND"/>
    <n v="26790"/>
    <n v="10068"/>
    <n v="302040"/>
    <n v="57387.6"/>
    <n v="359427.6"/>
    <n v="11980.92"/>
    <m/>
    <s v="ETNIKER REFRESCANTE RIZOS * 300 ML LMAR"/>
  </r>
  <r>
    <d v="2023-04-10T00:00:00"/>
    <n v="34624"/>
    <n v="11"/>
    <m/>
    <n v="2"/>
    <x v="22"/>
    <n v="19"/>
    <n v="9307"/>
    <s v="UND"/>
    <n v="0"/>
    <n v="9307"/>
    <n v="18614"/>
    <n v="3536.66"/>
    <n v="22150.66"/>
    <n v="11075.33"/>
    <m/>
    <s v="ETNIKER TONICO GROW 120 ML LMAR"/>
  </r>
  <r>
    <d v="2023-04-10T00:00:00"/>
    <n v="34624"/>
    <n v="12"/>
    <m/>
    <n v="6"/>
    <x v="16"/>
    <n v="19"/>
    <n v="46492"/>
    <s v="UND"/>
    <n v="29052"/>
    <n v="41650"/>
    <n v="249900"/>
    <n v="47481"/>
    <n v="297381"/>
    <n v="49563.5"/>
    <m/>
    <s v="ETNIKER HYDROELIXIR * 38 ML LMAR"/>
  </r>
  <r>
    <d v="2023-04-10T00:00:00"/>
    <n v="34624"/>
    <n v="13"/>
    <m/>
    <n v="7"/>
    <x v="6"/>
    <n v="19"/>
    <n v="14010"/>
    <s v="UND"/>
    <n v="4907"/>
    <n v="13309"/>
    <n v="93163"/>
    <n v="17700.97"/>
    <n v="110863.97"/>
    <n v="15837.710000000001"/>
    <m/>
    <s v="ETNIKER CREMA PEINAR 290 ML LMAR"/>
  </r>
  <r>
    <d v="2023-04-10T00:00:00"/>
    <n v="34624"/>
    <n v="14"/>
    <m/>
    <n v="5"/>
    <x v="7"/>
    <n v="19"/>
    <n v="14010"/>
    <s v="UND"/>
    <n v="3505"/>
    <n v="13309"/>
    <n v="66545"/>
    <n v="12643.55"/>
    <n v="79188.55"/>
    <n v="15837.710000000001"/>
    <m/>
    <s v="ETNIKER MASC * 300 GR LMAR"/>
  </r>
  <r>
    <d v="2023-04-10T00:00:00"/>
    <n v="34624"/>
    <n v="15"/>
    <m/>
    <n v="7"/>
    <x v="0"/>
    <n v="19"/>
    <n v="14010"/>
    <s v="UND"/>
    <n v="4907"/>
    <n v="13309"/>
    <n v="93163"/>
    <n v="17700.97"/>
    <n v="110863.97"/>
    <n v="15837.710000000001"/>
    <m/>
    <s v="ETNIKER HYDROELIXIR * 38 ML LMAR"/>
  </r>
  <r>
    <d v="2023-04-10T00:00:00"/>
    <n v="34624"/>
    <n v="16"/>
    <m/>
    <n v="3"/>
    <x v="8"/>
    <n v="19"/>
    <n v="14010"/>
    <s v="UND"/>
    <n v="2103"/>
    <n v="13309"/>
    <n v="39927"/>
    <n v="7586.13"/>
    <n v="47513.13"/>
    <n v="15837.71"/>
    <m/>
    <s v="ETNIKER SH 250 ML LMAR"/>
  </r>
  <r>
    <d v="2023-04-10T00:00:00"/>
    <n v="34624"/>
    <n v="17"/>
    <m/>
    <n v="4"/>
    <x v="9"/>
    <n v="19"/>
    <n v="14010"/>
    <s v="UND"/>
    <n v="2804"/>
    <n v="13309"/>
    <n v="53236"/>
    <n v="10114.84"/>
    <n v="63350.84"/>
    <n v="15837.71"/>
    <m/>
    <s v="ETNIKER GEL FLUIDO * 300 GR LMAR"/>
  </r>
  <r>
    <d v="2023-04-10T00:00:00"/>
    <n v="34624"/>
    <n v="18"/>
    <m/>
    <n v="3"/>
    <x v="2"/>
    <n v="19"/>
    <n v="19514"/>
    <s v="UND"/>
    <n v="2991"/>
    <n v="18517"/>
    <n v="55551"/>
    <n v="10554.69"/>
    <n v="66105.69"/>
    <n v="22035.23"/>
    <m/>
    <s v="ETNIKER TRAT CARIBE * 1000 GR LMAR"/>
  </r>
  <r>
    <d v="2023-04-14T00:00:00"/>
    <n v="34800"/>
    <n v="1"/>
    <m/>
    <n v="10"/>
    <x v="17"/>
    <n v="19"/>
    <n v="135600"/>
    <s v="UND"/>
    <n v="96850"/>
    <n v="125915"/>
    <n v="1259150"/>
    <n v="239238.5"/>
    <n v="1498388.5"/>
    <n v="149838.85"/>
    <m/>
    <s v="ETNIKER HYDROELIXIR * 38 ML LMAR"/>
  </r>
  <r>
    <d v="2023-04-19T00:00:00"/>
    <n v="34940"/>
    <n v="1"/>
    <m/>
    <n v="11"/>
    <x v="6"/>
    <n v="19"/>
    <n v="14010"/>
    <s v="UND"/>
    <n v="7711"/>
    <n v="13309"/>
    <n v="146399"/>
    <n v="27815.81"/>
    <n v="174214.81"/>
    <n v="15837.71"/>
    <m/>
    <s v="ETNIKER CREMA PEINAR 290 ML LMAR"/>
  </r>
  <r>
    <d v="2023-04-19T00:00:00"/>
    <n v="34940"/>
    <n v="2"/>
    <m/>
    <n v="9"/>
    <x v="7"/>
    <n v="19"/>
    <n v="14010"/>
    <s v="UND"/>
    <n v="6309"/>
    <n v="13309"/>
    <n v="119781"/>
    <n v="22758.39"/>
    <n v="142539.39000000001"/>
    <n v="15837.710000000001"/>
    <m/>
    <s v="ETNIKER MASC * 300 GR LMAR"/>
  </r>
  <r>
    <d v="2023-04-19T00:00:00"/>
    <n v="34940"/>
    <n v="3"/>
    <m/>
    <n v="9"/>
    <x v="0"/>
    <n v="19"/>
    <n v="14010"/>
    <s v="UND"/>
    <n v="6309"/>
    <n v="13309"/>
    <n v="119781"/>
    <n v="22758.39"/>
    <n v="142539.39000000001"/>
    <n v="15837.710000000001"/>
    <m/>
    <s v="ETNIKER HYDROELIXIR * 38 ML LMAR"/>
  </r>
  <r>
    <d v="2023-04-19T00:00:00"/>
    <n v="34940"/>
    <n v="4"/>
    <m/>
    <n v="7"/>
    <x v="8"/>
    <n v="19"/>
    <n v="14010"/>
    <s v="UND"/>
    <n v="4907"/>
    <n v="13309"/>
    <n v="93163"/>
    <n v="17700.97"/>
    <n v="110863.97"/>
    <n v="15837.710000000001"/>
    <m/>
    <s v="ETNIKER SH 250 ML LMAR"/>
  </r>
  <r>
    <d v="2023-04-19T00:00:00"/>
    <n v="34940"/>
    <n v="5"/>
    <m/>
    <n v="8"/>
    <x v="9"/>
    <n v="19"/>
    <n v="14010"/>
    <s v="UND"/>
    <n v="5608"/>
    <n v="13309"/>
    <n v="106472"/>
    <n v="20229.68"/>
    <n v="126701.68"/>
    <n v="15837.71"/>
    <m/>
    <s v="ETNIKER GEL FLUIDO * 300 GR LMAR"/>
  </r>
  <r>
    <d v="2023-04-19T00:00:00"/>
    <n v="34940"/>
    <n v="6"/>
    <m/>
    <n v="3"/>
    <x v="18"/>
    <n v="19"/>
    <n v="21910"/>
    <s v="UND"/>
    <n v="3762"/>
    <n v="20656"/>
    <n v="61968"/>
    <n v="11773.92"/>
    <n v="73741.919999999998"/>
    <n v="24580.639999999999"/>
    <m/>
    <s v="ETNIKER CREMA PEINAR 500 LMAR"/>
  </r>
  <r>
    <d v="2023-05-20T00:00:00"/>
    <n v="36006"/>
    <n v="1"/>
    <m/>
    <n v="2"/>
    <x v="30"/>
    <n v="19"/>
    <n v="12972"/>
    <s v="UND"/>
    <n v="0"/>
    <n v="12972"/>
    <n v="25944"/>
    <n v="4929.3599999999997"/>
    <n v="30873.360000000001"/>
    <n v="15436.68"/>
    <m/>
    <s v="ETNIKER REFRESCANTE RIZOS * 300 ML LMAR"/>
  </r>
  <r>
    <d v="2023-05-20T00:00:00"/>
    <n v="36006"/>
    <n v="2"/>
    <m/>
    <n v="2"/>
    <x v="31"/>
    <n v="19"/>
    <n v="12972"/>
    <s v="UND"/>
    <n v="0"/>
    <n v="12972"/>
    <n v="25944"/>
    <n v="4929.3599999999997"/>
    <n v="30873.360000000001"/>
    <n v="15436.68"/>
    <m/>
    <e v="#N/A"/>
  </r>
  <r>
    <d v="2023-05-20T00:00:00"/>
    <n v="36006"/>
    <n v="3"/>
    <m/>
    <n v="3"/>
    <x v="15"/>
    <n v="19"/>
    <n v="11712"/>
    <s v="UND"/>
    <n v="0"/>
    <n v="11712"/>
    <n v="35136"/>
    <n v="6675.84"/>
    <n v="41811.839999999997"/>
    <n v="13937.279999999999"/>
    <m/>
    <s v="ETNIKER SH LIMPIEZA PROFUNDA 250 ML LMAR"/>
  </r>
  <r>
    <d v="2023-05-20T00:00:00"/>
    <n v="36006"/>
    <n v="4"/>
    <m/>
    <n v="3"/>
    <x v="36"/>
    <n v="19"/>
    <n v="12179"/>
    <s v="UND"/>
    <n v="0"/>
    <n v="12179"/>
    <n v="36537"/>
    <n v="6942.03"/>
    <n v="43479.03"/>
    <n v="14493.01"/>
    <m/>
    <s v="ETNIKER GEL FLUIDO * 300 GR LMAR"/>
  </r>
  <r>
    <d v="2023-05-20T00:00:00"/>
    <n v="36006"/>
    <n v="5"/>
    <m/>
    <n v="6"/>
    <x v="16"/>
    <n v="19"/>
    <n v="46492"/>
    <s v="UND"/>
    <n v="29052"/>
    <n v="41650"/>
    <n v="249900"/>
    <n v="47481"/>
    <n v="297381"/>
    <n v="49563.5"/>
    <m/>
    <s v="ETNIKER HYDROELIXIR * 38 ML LMAR"/>
  </r>
  <r>
    <d v="2023-05-20T00:00:00"/>
    <n v="36006"/>
    <n v="6"/>
    <m/>
    <n v="8"/>
    <x v="6"/>
    <n v="19"/>
    <n v="14010"/>
    <s v="UND"/>
    <n v="5608"/>
    <n v="13309"/>
    <n v="106472"/>
    <n v="20229.68"/>
    <n v="126701.68"/>
    <n v="15837.71"/>
    <m/>
    <s v="ETNIKER CREMA PEINAR 290 ML LMAR"/>
  </r>
  <r>
    <d v="2023-05-20T00:00:00"/>
    <n v="36006"/>
    <n v="7"/>
    <m/>
    <n v="8"/>
    <x v="7"/>
    <n v="19"/>
    <n v="14010"/>
    <s v="UND"/>
    <n v="5608"/>
    <n v="13309"/>
    <n v="106472"/>
    <n v="20229.68"/>
    <n v="126701.68"/>
    <n v="15837.71"/>
    <m/>
    <s v="ETNIKER MASC * 300 GR LMAR"/>
  </r>
  <r>
    <d v="2023-05-20T00:00:00"/>
    <n v="36006"/>
    <n v="8"/>
    <m/>
    <n v="10"/>
    <x v="0"/>
    <n v="19"/>
    <n v="14010"/>
    <s v="UND"/>
    <n v="7010"/>
    <n v="13309"/>
    <n v="133090"/>
    <n v="25287.1"/>
    <n v="158377.1"/>
    <n v="15837.710000000001"/>
    <m/>
    <s v="ETNIKER HYDROELIXIR * 38 ML LMAR"/>
  </r>
  <r>
    <d v="2023-05-20T00:00:00"/>
    <n v="36006"/>
    <n v="9"/>
    <m/>
    <n v="10"/>
    <x v="8"/>
    <n v="19"/>
    <n v="14010"/>
    <s v="UND"/>
    <n v="7010"/>
    <n v="13309"/>
    <n v="133090"/>
    <n v="25287.1"/>
    <n v="158377.1"/>
    <n v="15837.710000000001"/>
    <m/>
    <s v="ETNIKER SH 250 ML LMAR"/>
  </r>
  <r>
    <d v="2023-05-20T00:00:00"/>
    <n v="36006"/>
    <n v="10"/>
    <m/>
    <n v="8"/>
    <x v="9"/>
    <n v="19"/>
    <n v="14010"/>
    <s v="UND"/>
    <n v="5608"/>
    <n v="13309"/>
    <n v="106472"/>
    <n v="20229.68"/>
    <n v="126701.68"/>
    <n v="15837.71"/>
    <m/>
    <s v="ETNIKER GEL FLUIDO * 300 GR LMAR"/>
  </r>
  <r>
    <d v="2023-05-20T00:00:00"/>
    <n v="36006"/>
    <n v="11"/>
    <m/>
    <n v="3"/>
    <x v="18"/>
    <n v="19"/>
    <n v="21910"/>
    <s v="UND"/>
    <n v="3762"/>
    <n v="20656"/>
    <n v="61968"/>
    <n v="11773.92"/>
    <n v="73741.919999999998"/>
    <n v="24580.639999999999"/>
    <m/>
    <s v="ETNIKER CREMA PEINAR 500 LMAR"/>
  </r>
  <r>
    <d v="2023-05-20T00:00:00"/>
    <n v="36006"/>
    <n v="12"/>
    <m/>
    <n v="2"/>
    <x v="26"/>
    <n v="19"/>
    <n v="23956"/>
    <s v="UND"/>
    <n v="0"/>
    <n v="23956"/>
    <n v="47912"/>
    <n v="9103.2800000000007"/>
    <n v="57015.28"/>
    <n v="28507.64"/>
    <m/>
    <s v="ETNIKER TRAT DEEP * 570 LMAR"/>
  </r>
  <r>
    <d v="2023-05-20T00:00:00"/>
    <n v="36006"/>
    <n v="13"/>
    <m/>
    <n v="2"/>
    <x v="10"/>
    <n v="19"/>
    <n v="18532"/>
    <s v="UND"/>
    <n v="0"/>
    <n v="18532"/>
    <n v="37064"/>
    <n v="7042.16"/>
    <n v="44106.16"/>
    <n v="22053.08"/>
    <m/>
    <s v="ETNIKER REFRESCANTE RIZOS * 300 ML LMAR"/>
  </r>
  <r>
    <d v="2023-05-20T00:00:00"/>
    <n v="36006"/>
    <n v="14"/>
    <m/>
    <n v="1"/>
    <x v="11"/>
    <n v="19"/>
    <n v="23472"/>
    <s v="UND"/>
    <n v="0"/>
    <n v="23472"/>
    <n v="23472"/>
    <n v="4459.68"/>
    <n v="27931.68"/>
    <n v="27931.68"/>
    <m/>
    <s v="ETNIKER TONICO GROW 120 ML LMAR"/>
  </r>
  <r>
    <d v="2023-05-20T00:00:00"/>
    <n v="36006"/>
    <n v="15"/>
    <m/>
    <n v="1"/>
    <x v="37"/>
    <n v="19"/>
    <n v="24888"/>
    <s v="UND"/>
    <n v="0"/>
    <n v="24888"/>
    <n v="24888"/>
    <n v="4728.72"/>
    <n v="29616.720000000001"/>
    <n v="29616.720000000001"/>
    <m/>
    <s v="ETNIKER SH 500 ML LMAR"/>
  </r>
  <r>
    <d v="2023-05-26T00:00:00"/>
    <n v="36149"/>
    <n v="1"/>
    <m/>
    <n v="6"/>
    <x v="4"/>
    <m/>
    <n v="120502"/>
    <s v="UND"/>
    <n v="196530"/>
    <n v="87747"/>
    <n v="526482"/>
    <n v="100031.58"/>
    <n v="626513.57999999996"/>
    <n v="104418.93"/>
    <m/>
    <s v="ETNIKER HYDROELIXIR * 38 ML LMAR"/>
  </r>
  <r>
    <d v="2023-05-26T00:00:00"/>
    <n v="36149"/>
    <n v="2"/>
    <m/>
    <n v="3"/>
    <x v="15"/>
    <m/>
    <n v="11712"/>
    <s v="UND"/>
    <n v="0"/>
    <n v="11712"/>
    <n v="35136"/>
    <n v="6675.84"/>
    <n v="41811.839999999997"/>
    <n v="13937.279999999999"/>
    <m/>
    <s v="ETNIKER SH LIMPIEZA PROFUNDA 250 ML LMAR"/>
  </r>
  <r>
    <d v="2023-05-26T00:00:00"/>
    <n v="36149"/>
    <n v="3"/>
    <m/>
    <n v="6"/>
    <x v="17"/>
    <m/>
    <n v="135600"/>
    <s v="UND"/>
    <n v="58110"/>
    <n v="125915"/>
    <n v="755490"/>
    <n v="143543.1"/>
    <n v="899033.1"/>
    <n v="149838.85"/>
    <m/>
    <s v="ETNIKER HYDROELIXIR * 38 ML LMAR"/>
  </r>
  <r>
    <d v="2023-06-07T00:00:00"/>
    <n v="36445"/>
    <n v="1"/>
    <m/>
    <n v="2"/>
    <x v="33"/>
    <m/>
    <n v="12142"/>
    <s v="UND"/>
    <n v="0"/>
    <n v="12142"/>
    <n v="24284"/>
    <n v="4613.96"/>
    <n v="28897.96"/>
    <n v="14448.98"/>
    <m/>
    <s v="ETNIKER HYDROELIXIR * 38 ML LMAR"/>
  </r>
  <r>
    <d v="2023-06-07T00:00:00"/>
    <n v="36445"/>
    <n v="2"/>
    <m/>
    <n v="8"/>
    <x v="17"/>
    <m/>
    <n v="135600"/>
    <s v="UND"/>
    <n v="77480"/>
    <n v="125915"/>
    <n v="1007320"/>
    <n v="191390.8"/>
    <n v="1198710.8"/>
    <n v="149838.85"/>
    <m/>
    <s v="ETNIKER HYDROELIXIR * 38 ML LMAR"/>
  </r>
  <r>
    <d v="2023-06-07T00:00:00"/>
    <n v="36445"/>
    <n v="3"/>
    <m/>
    <n v="6"/>
    <x v="6"/>
    <m/>
    <n v="14010"/>
    <s v="UND"/>
    <n v="4206"/>
    <n v="13309"/>
    <n v="79854"/>
    <n v="15172.26"/>
    <n v="95026.26"/>
    <n v="15837.71"/>
    <m/>
    <s v="ETNIKER CREMA PEINAR 290 ML LMAR"/>
  </r>
  <r>
    <d v="2023-06-07T00:00:00"/>
    <n v="36445"/>
    <n v="4"/>
    <m/>
    <n v="8"/>
    <x v="7"/>
    <m/>
    <n v="14010"/>
    <s v="UND"/>
    <n v="5608"/>
    <n v="13309"/>
    <n v="106472"/>
    <n v="20229.68"/>
    <n v="126701.68"/>
    <n v="15837.71"/>
    <m/>
    <s v="ETNIKER MASC * 300 GR LMAR"/>
  </r>
  <r>
    <d v="2023-06-07T00:00:00"/>
    <n v="36445"/>
    <n v="5"/>
    <m/>
    <n v="8"/>
    <x v="0"/>
    <m/>
    <n v="14010"/>
    <s v="UND"/>
    <n v="5608"/>
    <n v="13309"/>
    <n v="106472"/>
    <n v="20229.68"/>
    <n v="126701.68"/>
    <n v="15837.71"/>
    <m/>
    <s v="ETNIKER HYDROELIXIR * 38 ML LMAR"/>
  </r>
  <r>
    <d v="2023-06-07T00:00:00"/>
    <n v="36445"/>
    <n v="6"/>
    <m/>
    <n v="6"/>
    <x v="8"/>
    <m/>
    <n v="14010"/>
    <s v="UND"/>
    <n v="4206"/>
    <n v="13309"/>
    <n v="79854"/>
    <n v="15172.26"/>
    <n v="95026.26"/>
    <n v="15837.71"/>
    <m/>
    <s v="ETNIKER SH 250 ML LMAR"/>
  </r>
  <r>
    <d v="2023-06-07T00:00:00"/>
    <n v="34735"/>
    <n v="1"/>
    <m/>
    <n v="3"/>
    <x v="7"/>
    <m/>
    <n v="13303"/>
    <s v="UND"/>
    <m/>
    <n v="13303"/>
    <n v="39909"/>
    <n v="7582.71"/>
    <n v="47491.71"/>
    <n v="15830.57"/>
    <m/>
    <s v="ETNIKER MASC * 300 GR LMAR"/>
  </r>
  <r>
    <d v="2023-06-07T00:00:00"/>
    <n v="34735"/>
    <n v="2"/>
    <m/>
    <n v="3"/>
    <x v="9"/>
    <m/>
    <n v="13303"/>
    <s v="UND"/>
    <m/>
    <n v="13303"/>
    <n v="39909"/>
    <n v="7582.71"/>
    <n v="47491.71"/>
    <n v="15830.57"/>
    <m/>
    <s v="ETNIKER GEL FLUIDO * 300 GR LMAR"/>
  </r>
  <r>
    <d v="2023-06-07T00:00:00"/>
    <n v="34735"/>
    <n v="3"/>
    <m/>
    <n v="3"/>
    <x v="1"/>
    <m/>
    <n v="8800"/>
    <s v="UND"/>
    <m/>
    <n v="8800"/>
    <n v="26400"/>
    <n v="5016"/>
    <n v="31416"/>
    <n v="10472"/>
    <m/>
    <s v="ETNIKER CURL DEFINING GEL 300 ML LMAR"/>
  </r>
  <r>
    <d v="2023-06-18T00:00:00"/>
    <n v="36789"/>
    <n v="1"/>
    <m/>
    <n v="2"/>
    <x v="3"/>
    <m/>
    <n v="9709"/>
    <s v="UND"/>
    <n v="0"/>
    <n v="9709"/>
    <n v="19418"/>
    <n v="3689.42"/>
    <n v="23107.42"/>
    <n v="11553.71"/>
    <m/>
    <s v="ETNIKER REFRESCANTE RIZOS * 300 ML LMAR"/>
  </r>
  <r>
    <d v="2023-06-18T00:00:00"/>
    <n v="36789"/>
    <n v="2"/>
    <m/>
    <n v="3"/>
    <x v="30"/>
    <m/>
    <n v="12972"/>
    <s v="UND"/>
    <n v="1944"/>
    <n v="12324"/>
    <n v="36972"/>
    <n v="7024.68"/>
    <n v="43996.68"/>
    <n v="14665.56"/>
    <m/>
    <s v="ETNIKER REFRESCANTE RIZOS * 300 ML LMAR"/>
  </r>
  <r>
    <d v="2023-06-18T00:00:00"/>
    <n v="36789"/>
    <n v="3"/>
    <m/>
    <n v="5"/>
    <x v="0"/>
    <m/>
    <n v="14010"/>
    <s v="UND"/>
    <n v="3505"/>
    <n v="13309"/>
    <n v="66545"/>
    <n v="12643.55"/>
    <n v="79188.55"/>
    <n v="15837.710000000001"/>
    <m/>
    <s v="ETNIKER HYDROELIXIR * 38 ML LMAR"/>
  </r>
  <r>
    <d v="2023-06-18T00:00:00"/>
    <n v="36789"/>
    <n v="4"/>
    <m/>
    <n v="6"/>
    <x v="9"/>
    <m/>
    <n v="14010"/>
    <s v="UND"/>
    <n v="4206"/>
    <n v="13309"/>
    <n v="79854"/>
    <n v="15172.26"/>
    <n v="95026.26"/>
    <n v="15837.71"/>
    <m/>
    <s v="ETNIKER GEL FLUIDO * 300 GR LMAR"/>
  </r>
  <r>
    <d v="2023-06-18T00:00:00"/>
    <n v="36789"/>
    <n v="5"/>
    <m/>
    <n v="3"/>
    <x v="18"/>
    <m/>
    <n v="21910"/>
    <s v="UND"/>
    <n v="3762"/>
    <n v="20656"/>
    <n v="61968"/>
    <n v="11773.92"/>
    <n v="73741.919999999998"/>
    <n v="24580.639999999999"/>
    <m/>
    <s v="ETNIKER CREMA PEINAR 500 LMAR"/>
  </r>
  <r>
    <d v="2023-06-18T00:00:00"/>
    <n v="36789"/>
    <n v="6"/>
    <m/>
    <n v="3"/>
    <x v="10"/>
    <m/>
    <n v="18532"/>
    <s v="UND"/>
    <n v="2775"/>
    <n v="17607"/>
    <n v="52821"/>
    <n v="10035.99"/>
    <n v="62856.99"/>
    <n v="20952.329999999998"/>
    <m/>
    <s v="ETNIKER REFRESCANTE RIZOS * 300 ML LMAR"/>
  </r>
  <r>
    <d v="2023-06-18T00:00:00"/>
    <n v="36789"/>
    <n v="7"/>
    <m/>
    <n v="2"/>
    <x v="11"/>
    <m/>
    <n v="23472"/>
    <s v="UND"/>
    <n v="0"/>
    <n v="23472"/>
    <n v="46944"/>
    <n v="8919.36"/>
    <n v="55863.360000000001"/>
    <n v="27931.68"/>
    <m/>
    <s v="ETNIKER TONICO GROW 120 ML LMAR"/>
  </r>
  <r>
    <d v="2023-06-26T00:00:00"/>
    <s v="37093"/>
    <n v="1"/>
    <m/>
    <n v="6"/>
    <x v="17"/>
    <m/>
    <n v="135600"/>
    <s v="UND"/>
    <n v="58110"/>
    <n v="125915"/>
    <n v="755490"/>
    <n v="143543.1"/>
    <n v="899033.1"/>
    <n v="149838.85"/>
    <m/>
    <s v="ETNIKER HYDROELIXIR * 38 ML LMAR"/>
  </r>
  <r>
    <d v="2023-06-26T00:00:00"/>
    <s v="37093"/>
    <n v="2"/>
    <m/>
    <n v="10"/>
    <x v="6"/>
    <m/>
    <n v="14010"/>
    <s v="UND"/>
    <n v="7010"/>
    <n v="13309"/>
    <n v="133090"/>
    <n v="25287.1"/>
    <n v="158377.1"/>
    <n v="15837.710000000001"/>
    <m/>
    <s v="ETNIKER CREMA PEINAR 290 ML LMAR"/>
  </r>
  <r>
    <d v="2023-06-26T00:00:00"/>
    <s v="37093"/>
    <n v="3"/>
    <m/>
    <n v="8"/>
    <x v="7"/>
    <m/>
    <n v="14010"/>
    <s v="UND"/>
    <n v="5608"/>
    <n v="13309"/>
    <n v="106472"/>
    <n v="20229.68"/>
    <n v="126701.68"/>
    <n v="15837.71"/>
    <m/>
    <s v="ETNIKER MASC * 300 GR LMAR"/>
  </r>
  <r>
    <d v="2023-06-26T00:00:00"/>
    <s v="37093"/>
    <n v="4"/>
    <m/>
    <n v="6"/>
    <x v="0"/>
    <m/>
    <n v="14010"/>
    <s v="UND"/>
    <n v="4206"/>
    <n v="13309"/>
    <n v="79854"/>
    <n v="15172.26"/>
    <n v="95026.26"/>
    <n v="15837.71"/>
    <m/>
    <s v="ETNIKER HYDROELIXIR * 38 ML LMAR"/>
  </r>
  <r>
    <d v="2023-06-26T00:00:00"/>
    <s v="37093"/>
    <n v="5"/>
    <m/>
    <n v="8"/>
    <x v="8"/>
    <m/>
    <n v="14010"/>
    <s v="UND"/>
    <n v="5608"/>
    <n v="13309"/>
    <n v="106472"/>
    <n v="20229.68"/>
    <n v="126701.68"/>
    <n v="15837.71"/>
    <m/>
    <s v="ETNIKER SH 250 ML LMAR"/>
  </r>
  <r>
    <d v="2023-06-26T00:00:00"/>
    <n v="37093"/>
    <n v="6"/>
    <m/>
    <n v="10"/>
    <x v="9"/>
    <m/>
    <n v="14010"/>
    <s v="UND"/>
    <n v="7010"/>
    <n v="13309"/>
    <n v="133090"/>
    <n v="25287.1"/>
    <n v="158377.1"/>
    <n v="15837.710000000001"/>
    <m/>
    <s v="ETNIKER GEL FLUIDO * 300 GR LMAR"/>
  </r>
  <r>
    <d v="2023-07-06T00:00:00"/>
    <n v="37459"/>
    <n v="1"/>
    <m/>
    <n v="2"/>
    <x v="38"/>
    <m/>
    <n v="8681"/>
    <s v="UND"/>
    <n v="0"/>
    <n v="8681"/>
    <n v="17362"/>
    <n v="3298.78"/>
    <n v="20660.78"/>
    <n v="10330.39"/>
    <m/>
    <s v="ETNIKER GEL FLUIDO * 300 GR LMAR"/>
  </r>
  <r>
    <d v="2023-07-06T00:00:00"/>
    <n v="37459"/>
    <n v="2"/>
    <m/>
    <n v="6"/>
    <x v="17"/>
    <m/>
    <n v="135600"/>
    <s v="UND"/>
    <n v="58110"/>
    <n v="125915"/>
    <n v="755490"/>
    <n v="143543.1"/>
    <n v="899033.1"/>
    <n v="149838.85"/>
    <m/>
    <s v="ETNIKER HYDROELIXIR * 38 ML LMAR"/>
  </r>
  <r>
    <d v="2023-07-06T00:00:00"/>
    <n v="37459"/>
    <n v="3"/>
    <m/>
    <n v="9"/>
    <x v="6"/>
    <m/>
    <n v="14010"/>
    <s v="UND"/>
    <n v="6309"/>
    <n v="13309"/>
    <n v="119781"/>
    <n v="22758.39"/>
    <n v="142539.39000000001"/>
    <n v="15837.710000000001"/>
    <m/>
    <s v="ETNIKER CREMA PEINAR 290 ML LMAR"/>
  </r>
  <r>
    <d v="2023-07-06T00:00:00"/>
    <n v="37459"/>
    <n v="4"/>
    <m/>
    <n v="9"/>
    <x v="7"/>
    <m/>
    <n v="14010"/>
    <s v="UND"/>
    <n v="6309"/>
    <n v="13309"/>
    <n v="119781"/>
    <n v="22758.39"/>
    <n v="142539.39000000001"/>
    <n v="15837.710000000001"/>
    <m/>
    <s v="ETNIKER MASC * 300 GR LMAR"/>
  </r>
  <r>
    <d v="2023-07-06T00:00:00"/>
    <n v="37459"/>
    <n v="5"/>
    <m/>
    <n v="12"/>
    <x v="0"/>
    <m/>
    <n v="14010"/>
    <s v="UND"/>
    <n v="8412"/>
    <n v="13309"/>
    <n v="159708"/>
    <n v="30344.52"/>
    <n v="190052.52"/>
    <n v="15837.71"/>
    <m/>
    <s v="ETNIKER HYDROELIXIR * 38 ML LMAR"/>
  </r>
  <r>
    <d v="2023-07-06T00:00:00"/>
    <n v="37459"/>
    <n v="6"/>
    <m/>
    <n v="12"/>
    <x v="8"/>
    <m/>
    <n v="14010"/>
    <s v="UND"/>
    <n v="8412"/>
    <n v="13309"/>
    <n v="159708"/>
    <n v="30344.52"/>
    <n v="190052.52"/>
    <n v="15837.71"/>
    <m/>
    <s v="ETNIKER SH 250 ML LMAR"/>
  </r>
  <r>
    <d v="2023-07-06T00:00:00"/>
    <n v="37459"/>
    <n v="7"/>
    <m/>
    <n v="7"/>
    <x v="9"/>
    <m/>
    <n v="14010"/>
    <s v="UND"/>
    <n v="4907"/>
    <n v="13309"/>
    <n v="93163"/>
    <n v="17700.97"/>
    <n v="110863.97"/>
    <n v="15837.710000000001"/>
    <m/>
    <s v="ETNIKER GEL FLUIDO * 300 GR LMAR"/>
  </r>
  <r>
    <d v="2023-07-06T00:00:00"/>
    <n v="37459"/>
    <n v="8"/>
    <m/>
    <n v="3"/>
    <x v="18"/>
    <m/>
    <n v="21910"/>
    <s v="UND"/>
    <n v="3762"/>
    <n v="20656"/>
    <n v="61968"/>
    <n v="11773.92"/>
    <n v="73741.919999999998"/>
    <n v="24580.639999999999"/>
    <m/>
    <s v="ETNIKER CREMA PEINAR 500 LMAR"/>
  </r>
  <r>
    <d v="2023-07-06T00:00:00"/>
    <n v="37459"/>
    <n v="9"/>
    <m/>
    <n v="3"/>
    <x v="26"/>
    <m/>
    <n v="23956"/>
    <s v="UND"/>
    <n v="0"/>
    <n v="23956"/>
    <n v="71868"/>
    <n v="13654.92"/>
    <n v="85522.92"/>
    <n v="28507.64"/>
    <m/>
    <s v="ETNIKER TRAT DEEP * 570 LMAR"/>
  </r>
  <r>
    <d v="2023-07-06T00:00:00"/>
    <n v="37459"/>
    <n v="10"/>
    <m/>
    <n v="4"/>
    <x v="10"/>
    <m/>
    <n v="18532"/>
    <s v="UND"/>
    <n v="3700"/>
    <n v="17607"/>
    <n v="70428"/>
    <n v="13381.32"/>
    <n v="83809.320000000007"/>
    <n v="20952.330000000002"/>
    <m/>
    <s v="ETNIKER REFRESCANTE RIZOS * 300 ML LMAR"/>
  </r>
  <r>
    <d v="2023-07-14T00:00:00"/>
    <n v="34922"/>
    <n v="1"/>
    <m/>
    <n v="1"/>
    <x v="39"/>
    <m/>
    <n v="20750"/>
    <s v="UND"/>
    <n v="0"/>
    <n v="20750"/>
    <n v="20750"/>
    <n v="3942.5"/>
    <n v="24692.5"/>
    <n v="24692.5"/>
    <m/>
    <s v="ETNIKER CREMA PEINAR 500 LMAR"/>
  </r>
  <r>
    <d v="2023-07-14T00:00:00"/>
    <n v="34922"/>
    <n v="2"/>
    <m/>
    <n v="3"/>
    <x v="2"/>
    <m/>
    <n v="19514"/>
    <s v="UND"/>
    <n v="2991"/>
    <n v="18517"/>
    <n v="55551"/>
    <n v="10554.69"/>
    <n v="66105.69"/>
    <n v="22035.23"/>
    <m/>
    <s v="ETNIKER TRAT CARIBE * 1000 GR LMAR"/>
  </r>
  <r>
    <d v="2023-07-22T00:00:00"/>
    <n v="38314"/>
    <n v="1"/>
    <n v="3"/>
    <n v="3"/>
    <x v="24"/>
    <m/>
    <n v="9561"/>
    <s v="UND"/>
    <n v="1842"/>
    <n v="8947"/>
    <n v="26841"/>
    <n v="5099.79"/>
    <n v="31940.79"/>
    <n v="10646.93"/>
    <m/>
    <e v="#N/A"/>
  </r>
  <r>
    <d v="2023-07-22T00:00:00"/>
    <n v="38314"/>
    <n v="2"/>
    <n v="3"/>
    <n v="3"/>
    <x v="35"/>
    <m/>
    <n v="10961"/>
    <s v="UND"/>
    <n v="2679"/>
    <n v="10068"/>
    <n v="30204"/>
    <n v="5738.76"/>
    <n v="35942.76"/>
    <n v="11980.92"/>
    <m/>
    <s v="ETNIKER REFRESCANTE RIZOS * 300 ML LMAR"/>
  </r>
  <r>
    <d v="2023-07-22T00:00:00"/>
    <n v="38314"/>
    <n v="3"/>
    <n v="6"/>
    <n v="6"/>
    <x v="4"/>
    <m/>
    <n v="120502"/>
    <s v="UND"/>
    <n v="196530"/>
    <n v="87747"/>
    <n v="526482"/>
    <n v="100031.58"/>
    <n v="626513.57999999996"/>
    <n v="104418.93"/>
    <m/>
    <s v="ETNIKER HYDROELIXIR * 38 ML LMAR"/>
  </r>
  <r>
    <d v="2023-07-22T00:00:00"/>
    <n v="38314"/>
    <n v="4"/>
    <n v="3"/>
    <n v="3"/>
    <x v="25"/>
    <m/>
    <n v="11924"/>
    <s v="UND"/>
    <n v="1872"/>
    <n v="11300"/>
    <n v="33900"/>
    <n v="6441"/>
    <n v="40341"/>
    <n v="13447"/>
    <m/>
    <s v="ETNIKER MASC * 570 GR LMAR"/>
  </r>
  <r>
    <d v="2023-07-22T00:00:00"/>
    <n v="38314"/>
    <n v="5"/>
    <n v="13"/>
    <n v="13"/>
    <x v="6"/>
    <m/>
    <n v="14010"/>
    <s v="UND"/>
    <n v="9113"/>
    <n v="13309"/>
    <n v="173017"/>
    <n v="32873.230000000003"/>
    <n v="205890.23"/>
    <n v="15837.710000000001"/>
    <m/>
    <s v="ETNIKER CREMA PEINAR 290 ML LMAR"/>
  </r>
  <r>
    <d v="2023-07-22T00:00:00"/>
    <n v="38314"/>
    <n v="6"/>
    <n v="11"/>
    <n v="11"/>
    <x v="7"/>
    <m/>
    <n v="14010"/>
    <s v="UND"/>
    <n v="7711"/>
    <n v="13309"/>
    <n v="146399"/>
    <n v="27815.81"/>
    <n v="174214.81"/>
    <n v="15837.71"/>
    <m/>
    <s v="ETNIKER MASC * 300 GR LMAR"/>
  </r>
  <r>
    <d v="2023-07-22T00:00:00"/>
    <n v="38314"/>
    <n v="7"/>
    <n v="13"/>
    <n v="13"/>
    <x v="0"/>
    <m/>
    <n v="14010"/>
    <s v="UND"/>
    <n v="9113"/>
    <n v="13309"/>
    <n v="173017"/>
    <n v="32873.230000000003"/>
    <n v="205890.23"/>
    <n v="15837.710000000001"/>
    <m/>
    <s v="ETNIKER HYDROELIXIR * 38 ML LMAR"/>
  </r>
  <r>
    <d v="2023-07-22T00:00:00"/>
    <n v="38314"/>
    <n v="8"/>
    <n v="11"/>
    <n v="11"/>
    <x v="8"/>
    <m/>
    <n v="14010"/>
    <s v="UND"/>
    <n v="7711"/>
    <n v="13309"/>
    <n v="146399"/>
    <n v="27815.81"/>
    <n v="174214.81"/>
    <n v="15837.71"/>
    <m/>
    <s v="ETNIKER SH 250 ML LMAR"/>
  </r>
  <r>
    <d v="2023-07-22T00:00:00"/>
    <n v="38314"/>
    <n v="9"/>
    <n v="13"/>
    <n v="13"/>
    <x v="9"/>
    <m/>
    <n v="14010"/>
    <s v="UND"/>
    <n v="9113"/>
    <n v="13309"/>
    <n v="173017"/>
    <n v="32873.230000000003"/>
    <n v="205890.23"/>
    <n v="15837.710000000001"/>
    <m/>
    <s v="ETNIKER GEL FLUIDO * 300 GR LMAR"/>
  </r>
  <r>
    <d v="2023-07-22T00:00:00"/>
    <n v="38314"/>
    <n v="10"/>
    <n v="4"/>
    <n v="4"/>
    <x v="18"/>
    <m/>
    <n v="21910"/>
    <s v="UND"/>
    <n v="5016"/>
    <n v="20656"/>
    <n v="82624"/>
    <n v="15698.56"/>
    <n v="98322.559999999998"/>
    <n v="24580.639999999999"/>
    <m/>
    <s v="ETNIKER CREMA PEINAR 500 LMAR"/>
  </r>
  <r>
    <d v="2023-07-22T00:00:00"/>
    <n v="38314"/>
    <n v="11"/>
    <n v="3"/>
    <n v="3"/>
    <x v="10"/>
    <m/>
    <n v="18532"/>
    <s v="UND"/>
    <n v="2775"/>
    <n v="17607"/>
    <n v="52821"/>
    <n v="10035.99"/>
    <n v="62856.99"/>
    <n v="20952.329999999998"/>
    <m/>
    <s v="ETNIKER REFRESCANTE RIZOS * 300 ML LMAR"/>
  </r>
  <r>
    <d v="2023-07-22T00:00:00"/>
    <n v="38314"/>
    <n v="12"/>
    <n v="3"/>
    <n v="3"/>
    <x v="11"/>
    <m/>
    <n v="23472"/>
    <s v="UND"/>
    <n v="3522"/>
    <n v="22298"/>
    <n v="66894"/>
    <n v="12709.86"/>
    <n v="79603.86"/>
    <n v="26534.62"/>
    <m/>
    <s v="ETNIKER TONICO GROW 120 ML LMAR"/>
  </r>
  <r>
    <d v="2023-07-22T00:00:00"/>
    <n v="38314"/>
    <n v="13"/>
    <n v="3"/>
    <n v="3"/>
    <x v="27"/>
    <m/>
    <n v="19514"/>
    <s v="UND"/>
    <n v="2991"/>
    <n v="18517"/>
    <n v="55551"/>
    <n v="10554.69"/>
    <n v="66105.69"/>
    <n v="22035.23"/>
    <m/>
    <s v="ETNIKER TRAT AMAZONIA 1000 GR LMAR"/>
  </r>
  <r>
    <d v="2023-08-01T00:00:00"/>
    <n v="38786"/>
    <n v="1"/>
    <m/>
    <n v="2"/>
    <x v="22"/>
    <m/>
    <n v="9307"/>
    <s v="UND"/>
    <n v="0"/>
    <n v="9307"/>
    <n v="18614"/>
    <n v="3536.66"/>
    <n v="22150.66"/>
    <n v="11075.33"/>
    <m/>
    <s v="ETNIKER TONICO GROW 120 ML LMAR"/>
  </r>
  <r>
    <d v="2023-08-01T00:00:00"/>
    <n v="38786"/>
    <n v="2"/>
    <m/>
    <n v="3"/>
    <x v="15"/>
    <m/>
    <n v="11712"/>
    <s v="UND"/>
    <n v="0"/>
    <n v="11712"/>
    <n v="35136"/>
    <n v="6675.84"/>
    <n v="41811.839999999997"/>
    <n v="13937.279999999999"/>
    <m/>
    <s v="ETNIKER SH LIMPIEZA PROFUNDA 250 ML LMAR"/>
  </r>
  <r>
    <d v="2023-08-01T00:00:00"/>
    <n v="38786"/>
    <n v="3"/>
    <m/>
    <n v="6"/>
    <x v="17"/>
    <m/>
    <n v="135600"/>
    <s v="UND"/>
    <n v="58110"/>
    <n v="125915"/>
    <n v="755490"/>
    <n v="143543.1"/>
    <n v="899033.1"/>
    <n v="149838.85"/>
    <m/>
    <s v="ETNIKER HYDROELIXIR * 38 ML LMAR"/>
  </r>
  <r>
    <d v="2023-08-01T00:00:00"/>
    <n v="38786"/>
    <n v="4"/>
    <m/>
    <n v="4"/>
    <x v="2"/>
    <m/>
    <n v="19514"/>
    <s v="UND"/>
    <n v="3988"/>
    <n v="18517"/>
    <n v="74068"/>
    <n v="14072.92"/>
    <n v="88140.92"/>
    <n v="22035.23"/>
    <m/>
    <s v="ETNIKER TRAT CARIBE * 1000 GR LMAR"/>
  </r>
  <r>
    <d v="2023-08-04T00:00:00"/>
    <n v="34978"/>
    <n v="1"/>
    <m/>
    <n v="3"/>
    <x v="13"/>
    <m/>
    <n v="27910"/>
    <s v="UND"/>
    <m/>
    <n v="27910"/>
    <n v="83730"/>
    <n v="15908.7"/>
    <n v="99638.7"/>
    <n v="33212.9"/>
    <m/>
    <s v="ETNIKER CURL DEFINING GEL 1000 ML LMAR"/>
  </r>
  <r>
    <d v="2023-08-04T00:00:00"/>
    <n v="34978"/>
    <n v="2"/>
    <m/>
    <n v="6"/>
    <x v="8"/>
    <m/>
    <n v="14010"/>
    <s v="UND"/>
    <n v="4206"/>
    <n v="13309"/>
    <n v="79854"/>
    <n v="15172.26"/>
    <n v="95026.26"/>
    <n v="15837.71"/>
    <m/>
    <s v="ETNIKER SH 250 ML LMAR"/>
  </r>
  <r>
    <d v="2023-08-10T00:00:00"/>
    <n v="39186"/>
    <n v="1"/>
    <m/>
    <n v="3"/>
    <x v="29"/>
    <m/>
    <n v="12213"/>
    <s v="UND"/>
    <n v="0"/>
    <n v="12213"/>
    <n v="36639"/>
    <n v="6961.41"/>
    <n v="43600.41"/>
    <n v="14533.470000000001"/>
    <m/>
    <s v="ETNIKER REFRESCANTE RIZOS * 300 ML LMAR"/>
  </r>
  <r>
    <d v="2023-08-10T00:00:00"/>
    <n v="39186"/>
    <n v="2"/>
    <m/>
    <n v="6"/>
    <x v="16"/>
    <m/>
    <n v="46492"/>
    <s v="UND"/>
    <n v="29052"/>
    <n v="41650"/>
    <n v="249900"/>
    <n v="47481"/>
    <n v="297381"/>
    <n v="49563.5"/>
    <m/>
    <s v="ETNIKER HYDROELIXIR * 38 ML LMAR"/>
  </r>
  <r>
    <d v="2023-08-10T00:00:00"/>
    <n v="39186"/>
    <n v="3"/>
    <m/>
    <n v="8"/>
    <x v="17"/>
    <m/>
    <n v="135600"/>
    <s v="UND"/>
    <n v="77480"/>
    <n v="125915"/>
    <n v="1007320"/>
    <n v="191390.8"/>
    <n v="1198710.8"/>
    <n v="149838.85"/>
    <m/>
    <s v="ETNIKER HYDROELIXIR * 38 ML LMAR"/>
  </r>
  <r>
    <d v="2023-08-10T00:00:00"/>
    <n v="39186"/>
    <n v="4"/>
    <m/>
    <n v="6"/>
    <x v="6"/>
    <m/>
    <n v="14010"/>
    <s v="UND"/>
    <n v="4206"/>
    <n v="13309"/>
    <n v="79854"/>
    <n v="15172.26"/>
    <n v="95026.26"/>
    <n v="15837.71"/>
    <m/>
    <s v="ETNIKER CREMA PEINAR 290 ML LMAR"/>
  </r>
  <r>
    <d v="2023-08-10T00:00:00"/>
    <n v="39186"/>
    <n v="5"/>
    <m/>
    <n v="8"/>
    <x v="7"/>
    <m/>
    <n v="14010"/>
    <s v="UND"/>
    <n v="5608"/>
    <n v="13309"/>
    <n v="106472"/>
    <n v="20229.68"/>
    <n v="126701.68"/>
    <n v="15837.71"/>
    <m/>
    <s v="ETNIKER MASC * 300 GR LMAR"/>
  </r>
  <r>
    <d v="2023-08-10T00:00:00"/>
    <n v="39186"/>
    <n v="6"/>
    <m/>
    <n v="7"/>
    <x v="0"/>
    <m/>
    <n v="14010"/>
    <s v="UND"/>
    <n v="4907"/>
    <n v="13309"/>
    <n v="93163"/>
    <n v="17700.97"/>
    <n v="110863.97"/>
    <n v="15837.710000000001"/>
    <m/>
    <s v="ETNIKER HYDROELIXIR * 38 ML LMAR"/>
  </r>
  <r>
    <d v="2023-08-10T00:00:00"/>
    <n v="39186"/>
    <n v="7"/>
    <m/>
    <n v="6"/>
    <x v="8"/>
    <m/>
    <n v="14010"/>
    <s v="UND"/>
    <n v="4206"/>
    <n v="13309"/>
    <n v="79854"/>
    <n v="15172.26"/>
    <n v="95026.26"/>
    <n v="15837.71"/>
    <m/>
    <s v="ETNIKER SH 250 ML LMAR"/>
  </r>
  <r>
    <d v="2023-08-10T00:00:00"/>
    <n v="39186"/>
    <n v="8"/>
    <m/>
    <n v="7"/>
    <x v="9"/>
    <m/>
    <n v="14010"/>
    <s v="UND"/>
    <n v="4907"/>
    <n v="13309"/>
    <n v="93163"/>
    <n v="17700.97"/>
    <n v="110863.97"/>
    <n v="15837.710000000001"/>
    <m/>
    <s v="ETNIKER GEL FLUIDO * 300 GR LMAR"/>
  </r>
  <r>
    <d v="2023-08-10T00:00:00"/>
    <n v="39186"/>
    <n v="9"/>
    <m/>
    <n v="1"/>
    <x v="39"/>
    <m/>
    <n v="20829"/>
    <s v="UND"/>
    <n v="0"/>
    <n v="20829"/>
    <n v="20829"/>
    <n v="3957.51"/>
    <n v="24786.510000000002"/>
    <n v="24786.510000000002"/>
    <m/>
    <s v="ETNIKER CREMA PEINAR 500 LMAR"/>
  </r>
  <r>
    <d v="2023-08-23T00:00:00"/>
    <n v="39708"/>
    <n v="1"/>
    <m/>
    <n v="9"/>
    <x v="6"/>
    <m/>
    <n v="14010"/>
    <s v="UND"/>
    <n v="6309"/>
    <n v="13309"/>
    <n v="119781"/>
    <n v="22758.39"/>
    <n v="142539.39000000001"/>
    <n v="15837.710000000001"/>
    <m/>
    <s v="ETNIKER CREMA PEINAR 290 ML LMAR"/>
  </r>
  <r>
    <d v="2023-08-23T00:00:00"/>
    <n v="39708"/>
    <n v="2"/>
    <m/>
    <n v="9"/>
    <x v="7"/>
    <m/>
    <n v="14010"/>
    <s v="UND"/>
    <n v="6309"/>
    <n v="13309"/>
    <n v="119781"/>
    <n v="22758.39"/>
    <n v="142539.39000000001"/>
    <n v="15837.710000000001"/>
    <m/>
    <s v="ETNIKER MASC * 300 GR LMAR"/>
  </r>
  <r>
    <d v="2023-08-23T00:00:00"/>
    <n v="39708"/>
    <n v="3"/>
    <m/>
    <n v="8"/>
    <x v="0"/>
    <m/>
    <n v="14010"/>
    <s v="UND"/>
    <n v="5608"/>
    <n v="13309"/>
    <n v="106472"/>
    <n v="20229.68"/>
    <n v="126701.68"/>
    <n v="15837.71"/>
    <m/>
    <s v="ETNIKER HYDROELIXIR * 38 ML LMAR"/>
  </r>
  <r>
    <d v="2023-08-23T00:00:00"/>
    <n v="39708"/>
    <n v="4"/>
    <m/>
    <n v="18"/>
    <x v="8"/>
    <m/>
    <n v="14010"/>
    <s v="UND"/>
    <n v="12618"/>
    <n v="13309"/>
    <n v="239562"/>
    <n v="45516.78"/>
    <n v="285078.78000000003"/>
    <n v="15837.710000000001"/>
    <m/>
    <s v="ETNIKER SH 250 ML LMAR"/>
  </r>
  <r>
    <d v="2023-08-23T00:00:00"/>
    <n v="39708"/>
    <n v="5"/>
    <m/>
    <n v="10"/>
    <x v="9"/>
    <m/>
    <n v="14010"/>
    <s v="UND"/>
    <n v="7010"/>
    <n v="13309"/>
    <n v="133090"/>
    <n v="25287.1"/>
    <n v="158377.1"/>
    <n v="15837.710000000001"/>
    <m/>
    <s v="ETNIKER GEL FLUIDO * 300 GR LMAR"/>
  </r>
  <r>
    <d v="2023-08-23T00:00:00"/>
    <n v="39708"/>
    <n v="6"/>
    <m/>
    <n v="3"/>
    <x v="18"/>
    <m/>
    <n v="21910"/>
    <s v="UND"/>
    <n v="3762"/>
    <n v="20656"/>
    <n v="61968"/>
    <n v="11773.92"/>
    <n v="73741.919999999998"/>
    <n v="24580.639999999999"/>
    <m/>
    <s v="ETNIKER CREMA PEINAR 500 LMAR"/>
  </r>
  <r>
    <d v="2023-08-23T00:00:00"/>
    <n v="39708"/>
    <n v="7"/>
    <m/>
    <n v="3"/>
    <x v="10"/>
    <m/>
    <n v="18532"/>
    <s v="UND"/>
    <n v="2775"/>
    <n v="17607"/>
    <n v="52821"/>
    <n v="10035.99"/>
    <n v="62856.99"/>
    <n v="20952.329999999998"/>
    <m/>
    <s v="ETNIKER REFRESCANTE RIZOS * 300 ML LMAR"/>
  </r>
  <r>
    <d v="2023-08-23T00:00:00"/>
    <n v="39708"/>
    <n v="8"/>
    <m/>
    <n v="4"/>
    <x v="13"/>
    <m/>
    <n v="29437"/>
    <s v="UND"/>
    <n v="6080"/>
    <n v="27917"/>
    <n v="111668"/>
    <n v="21216.920000000002"/>
    <n v="132884.92000000001"/>
    <n v="33221.230000000003"/>
    <m/>
    <s v="ETNIKER CURL DEFINING GEL 1000 ML LMAR"/>
  </r>
  <r>
    <d v="2023-08-23T00:00:00"/>
    <n v="39708"/>
    <n v="9"/>
    <m/>
    <n v="3"/>
    <x v="19"/>
    <m/>
    <n v="19514"/>
    <s v="UND"/>
    <n v="2991"/>
    <n v="18517"/>
    <n v="55551"/>
    <n v="10554.69"/>
    <n v="66105.69"/>
    <n v="22035.23"/>
    <m/>
    <s v="TRAT SATIN REPAIR GUSANO SEDA * 290 ML LMAR"/>
  </r>
  <r>
    <d v="2023-09-09T00:00:00"/>
    <n v="40514"/>
    <n v="1"/>
    <m/>
    <n v="6"/>
    <x v="15"/>
    <m/>
    <n v="11712"/>
    <m/>
    <n v="0"/>
    <n v="11712"/>
    <n v="70272"/>
    <n v="13351.68"/>
    <n v="83623.679999999993"/>
    <n v="13937.279999999999"/>
    <m/>
    <s v="ETNIKER SH LIMPIEZA PROFUNDA 250 ML LMAR"/>
  </r>
  <r>
    <d v="2023-09-09T00:00:00"/>
    <n v="40514"/>
    <n v="2"/>
    <m/>
    <n v="3"/>
    <x v="36"/>
    <m/>
    <n v="12179"/>
    <m/>
    <n v="0"/>
    <n v="12179"/>
    <n v="36537"/>
    <n v="6942.03"/>
    <n v="43479.03"/>
    <n v="14493.01"/>
    <m/>
    <s v="ETNIKER GEL FLUIDO * 300 GR LMAR"/>
  </r>
  <r>
    <d v="2023-09-09T00:00:00"/>
    <n v="40514"/>
    <n v="3"/>
    <m/>
    <n v="8"/>
    <x v="17"/>
    <m/>
    <n v="135600"/>
    <m/>
    <n v="77480"/>
    <n v="125915"/>
    <n v="1007320"/>
    <n v="191390.8"/>
    <n v="1198710.8"/>
    <n v="149838.85"/>
    <m/>
    <s v="ETNIKER HYDROELIXIR * 38 ML LMAR"/>
  </r>
  <r>
    <d v="2023-09-09T00:00:00"/>
    <n v="40514"/>
    <n v="4"/>
    <m/>
    <n v="6"/>
    <x v="6"/>
    <m/>
    <n v="14010"/>
    <m/>
    <n v="4206"/>
    <n v="13309"/>
    <n v="79854"/>
    <n v="15172.26"/>
    <n v="95026.26"/>
    <n v="15837.71"/>
    <m/>
    <s v="ETNIKER CREMA PEINAR 290 ML LMAR"/>
  </r>
  <r>
    <d v="2023-09-09T00:00:00"/>
    <n v="40514"/>
    <n v="5"/>
    <m/>
    <n v="6"/>
    <x v="7"/>
    <m/>
    <n v="14010"/>
    <m/>
    <n v="4206"/>
    <n v="13309"/>
    <n v="79854"/>
    <n v="15172.26"/>
    <n v="95026.26"/>
    <n v="15837.71"/>
    <m/>
    <s v="ETNIKER MASC * 300 GR LMAR"/>
  </r>
  <r>
    <d v="2023-09-09T00:00:00"/>
    <n v="40514"/>
    <n v="6"/>
    <m/>
    <n v="6"/>
    <x v="0"/>
    <m/>
    <n v="14010"/>
    <m/>
    <n v="4206"/>
    <n v="13309"/>
    <n v="79854"/>
    <n v="15172.26"/>
    <n v="95026.26"/>
    <n v="15837.71"/>
    <m/>
    <s v="ETNIKER HYDROELIXIR * 38 ML LMAR"/>
  </r>
  <r>
    <d v="2023-09-09T00:00:00"/>
    <n v="40514"/>
    <n v="7"/>
    <m/>
    <n v="6"/>
    <x v="9"/>
    <m/>
    <n v="14010"/>
    <m/>
    <n v="4206"/>
    <n v="13309"/>
    <n v="79854"/>
    <n v="15172.26"/>
    <n v="95026.26"/>
    <n v="15837.71"/>
    <m/>
    <s v="ETNIKER GEL FLUIDO * 300 GR LMAR"/>
  </r>
  <r>
    <d v="2023-09-09T00:00:00"/>
    <n v="40514"/>
    <n v="8"/>
    <m/>
    <n v="1"/>
    <x v="40"/>
    <m/>
    <n v="23956"/>
    <m/>
    <n v="0"/>
    <n v="23956"/>
    <n v="23956"/>
    <n v="4551.6400000000003"/>
    <n v="28507.64"/>
    <n v="28507.64"/>
    <m/>
    <s v="ETNIKER MASC * 570 GR LMAR"/>
  </r>
  <r>
    <d v="2023-09-09T00:00:00"/>
    <n v="40514"/>
    <n v="9"/>
    <m/>
    <n v="4"/>
    <x v="1"/>
    <m/>
    <n v="9321"/>
    <m/>
    <n v="2024"/>
    <n v="8815"/>
    <n v="35260"/>
    <n v="6699.4"/>
    <n v="41959.4"/>
    <n v="10489.85"/>
    <m/>
    <s v="ETNIKER CURL DEFINING GEL 300 ML LMAR"/>
  </r>
  <r>
    <d v="2023-09-14T00:00:00"/>
    <n v="40766"/>
    <n v="1"/>
    <m/>
    <n v="6"/>
    <x v="17"/>
    <m/>
    <n v="135600"/>
    <m/>
    <n v="58110"/>
    <n v="125915"/>
    <n v="755490"/>
    <n v="143543.1"/>
    <n v="899033.1"/>
    <n v="149838.85"/>
    <m/>
    <s v="ETNIKER HYDROELIXIR * 38 ML LMAR"/>
  </r>
  <r>
    <d v="2023-09-14T00:00:00"/>
    <n v="40766"/>
    <n v="2"/>
    <m/>
    <n v="4"/>
    <x v="18"/>
    <m/>
    <n v="21910"/>
    <m/>
    <n v="5016"/>
    <n v="20656"/>
    <n v="82624"/>
    <n v="15698.56"/>
    <n v="98322.559999999998"/>
    <n v="24580.639999999999"/>
    <m/>
    <s v="ETNIKER CREMA PEINAR 500 LMAR"/>
  </r>
  <r>
    <d v="2023-09-14T00:00:00"/>
    <n v="40766"/>
    <n v="3"/>
    <m/>
    <n v="4"/>
    <x v="13"/>
    <m/>
    <n v="29437"/>
    <m/>
    <n v="6080"/>
    <n v="27917"/>
    <n v="111668"/>
    <n v="21216.920000000002"/>
    <n v="132884.92000000001"/>
    <n v="33221.230000000003"/>
    <m/>
    <s v="ETNIKER CURL DEFINING GEL 1000 ML LMAR"/>
  </r>
  <r>
    <d v="2023-09-15T00:00:00"/>
    <n v="40888"/>
    <n v="1"/>
    <m/>
    <n v="3"/>
    <x v="23"/>
    <m/>
    <n v="9015"/>
    <m/>
    <n v="1365"/>
    <n v="8560"/>
    <n v="25680"/>
    <n v="4879.2"/>
    <n v="30559.200000000001"/>
    <n v="10186.4"/>
    <m/>
    <s v="ETNIKER REFRESCANTE RIZOS * 300 ML LMAR"/>
  </r>
  <r>
    <d v="2023-09-15T00:00:00"/>
    <n v="40888"/>
    <n v="2"/>
    <m/>
    <n v="6"/>
    <x v="4"/>
    <m/>
    <n v="120502"/>
    <m/>
    <n v="196530"/>
    <n v="87747"/>
    <n v="526482"/>
    <n v="100031.58"/>
    <n v="626513.57999999996"/>
    <n v="104418.93"/>
    <m/>
    <s v="ETNIKER HYDROELIXIR * 38 ML LMAR"/>
  </r>
  <r>
    <d v="2023-09-15T00:00:00"/>
    <n v="40888"/>
    <n v="3"/>
    <m/>
    <n v="3"/>
    <x v="30"/>
    <m/>
    <n v="12972"/>
    <m/>
    <n v="1944"/>
    <n v="12324"/>
    <n v="36972"/>
    <n v="7024.68"/>
    <n v="43996.68"/>
    <n v="14665.56"/>
    <m/>
    <s v="ETNIKER REFRESCANTE RIZOS * 300 ML LMAR"/>
  </r>
  <r>
    <d v="2023-09-15T00:00:00"/>
    <n v="40888"/>
    <n v="4"/>
    <m/>
    <n v="3"/>
    <x v="31"/>
    <m/>
    <n v="12972"/>
    <m/>
    <n v="1944"/>
    <n v="12324"/>
    <n v="36972"/>
    <n v="7024.68"/>
    <n v="43996.68"/>
    <n v="14665.56"/>
    <m/>
    <e v="#N/A"/>
  </r>
  <r>
    <d v="2023-09-15T00:00:00"/>
    <n v="40888"/>
    <n v="5"/>
    <m/>
    <n v="6"/>
    <x v="17"/>
    <m/>
    <n v="135600"/>
    <m/>
    <n v="58110"/>
    <n v="125915"/>
    <n v="755490"/>
    <n v="143543.1"/>
    <n v="899033.1"/>
    <n v="149838.85"/>
    <m/>
    <s v="ETNIKER HYDROELIXIR * 38 ML LMAR"/>
  </r>
  <r>
    <d v="2023-09-15T00:00:00"/>
    <n v="40888"/>
    <n v="6"/>
    <m/>
    <n v="3"/>
    <x v="19"/>
    <m/>
    <n v="19514"/>
    <m/>
    <n v="2991"/>
    <n v="18517"/>
    <n v="55551"/>
    <n v="10554.69"/>
    <n v="66105.69"/>
    <n v="22035.23"/>
    <m/>
    <s v="TRAT SATIN REPAIR GUSANO SEDA * 290 ML LMAR"/>
  </r>
  <r>
    <d v="2023-09-15T00:00:00"/>
    <n v="40888"/>
    <n v="7"/>
    <m/>
    <n v="3"/>
    <x v="2"/>
    <m/>
    <n v="19514"/>
    <m/>
    <n v="2991"/>
    <n v="18517"/>
    <n v="55551"/>
    <n v="10554.69"/>
    <n v="66105.69"/>
    <n v="22035.23"/>
    <m/>
    <s v="ETNIKER TRAT CARIBE * 1000 GR LMAR"/>
  </r>
  <r>
    <d v="2023-09-19T00:00:00"/>
    <n v="41034"/>
    <n v="1"/>
    <m/>
    <n v="7"/>
    <x v="15"/>
    <m/>
    <n v="11712"/>
    <m/>
    <n v="0"/>
    <n v="11712"/>
    <n v="81984"/>
    <n v="15576.960000000001"/>
    <n v="97560.960000000006"/>
    <n v="13937.28"/>
    <m/>
    <s v="ETNIKER SH LIMPIEZA PROFUNDA 250 ML LMAR"/>
  </r>
  <r>
    <d v="2023-09-19T00:00:00"/>
    <n v="41034"/>
    <n v="2"/>
    <m/>
    <n v="8"/>
    <x v="13"/>
    <m/>
    <n v="29437"/>
    <m/>
    <n v="12160"/>
    <n v="27917"/>
    <n v="223336"/>
    <n v="42433.840000000004"/>
    <n v="265769.84000000003"/>
    <n v="33221.230000000003"/>
    <m/>
    <s v="ETNIKER CURL DEFINING GEL 1000 ML LMAR"/>
  </r>
  <r>
    <d v="2023-09-19T00:00:00"/>
    <n v="41034"/>
    <n v="3"/>
    <m/>
    <n v="1"/>
    <x v="37"/>
    <m/>
    <n v="24888"/>
    <m/>
    <n v="0"/>
    <n v="24888"/>
    <n v="24888"/>
    <n v="4728.72"/>
    <n v="29616.720000000001"/>
    <n v="29616.720000000001"/>
    <m/>
    <s v="ETNIKER SH 500 ML LMAR"/>
  </r>
  <r>
    <d v="2023-09-25T00:00:00"/>
    <n v="41191"/>
    <n v="1"/>
    <m/>
    <n v="3"/>
    <x v="6"/>
    <m/>
    <n v="14010"/>
    <m/>
    <n v="2103"/>
    <n v="13309"/>
    <n v="39927"/>
    <n v="7586.13"/>
    <n v="47513.13"/>
    <n v="15837.71"/>
    <m/>
    <s v="ETNIKER CREMA PEINAR 290 ML LMAR"/>
  </r>
  <r>
    <d v="2023-09-25T00:00:00"/>
    <n v="41191"/>
    <n v="2"/>
    <m/>
    <n v="6"/>
    <x v="27"/>
    <m/>
    <n v="19514"/>
    <m/>
    <n v="5982"/>
    <n v="18517"/>
    <n v="111102"/>
    <n v="21109.38"/>
    <n v="132211.38"/>
    <n v="22035.23"/>
    <m/>
    <s v="ETNIKER TRAT AMAZONIA 1000 GR LMAR"/>
  </r>
  <r>
    <d v="2023-10-02T00:00:00"/>
    <n v="41524"/>
    <n v="1"/>
    <m/>
    <n v="3"/>
    <x v="35"/>
    <m/>
    <n v="10961"/>
    <m/>
    <n v="2679"/>
    <n v="10068"/>
    <n v="30204"/>
    <n v="5738.76"/>
    <n v="35942.76"/>
    <n v="11980.92"/>
    <m/>
    <s v="ETNIKER REFRESCANTE RIZOS * 300 ML LMAR"/>
  </r>
  <r>
    <d v="2023-10-02T00:00:00"/>
    <n v="41524"/>
    <n v="2"/>
    <m/>
    <n v="6"/>
    <x v="17"/>
    <m/>
    <n v="135600"/>
    <m/>
    <n v="58110"/>
    <n v="125915"/>
    <n v="755490"/>
    <n v="143543.1"/>
    <n v="899033.1"/>
    <n v="149838.85"/>
    <m/>
    <s v="ETNIKER HYDROELIXIR * 38 ML LMAR"/>
  </r>
  <r>
    <d v="2023-10-02T00:00:00"/>
    <n v="41524"/>
    <n v="3"/>
    <m/>
    <n v="9"/>
    <x v="6"/>
    <m/>
    <n v="14010"/>
    <m/>
    <n v="6309"/>
    <n v="13309"/>
    <n v="119781"/>
    <n v="22758.39"/>
    <n v="142539.39000000001"/>
    <n v="15837.710000000001"/>
    <m/>
    <s v="ETNIKER CREMA PEINAR 290 ML LMAR"/>
  </r>
  <r>
    <d v="2023-10-02T00:00:00"/>
    <n v="41524"/>
    <n v="4"/>
    <m/>
    <n v="7"/>
    <x v="7"/>
    <m/>
    <n v="14010"/>
    <m/>
    <n v="4907"/>
    <n v="13309"/>
    <n v="93163"/>
    <n v="17700.97"/>
    <n v="110863.97"/>
    <n v="15837.710000000001"/>
    <m/>
    <s v="ETNIKER MASC * 300 GR LMAR"/>
  </r>
  <r>
    <d v="2023-10-02T00:00:00"/>
    <n v="41524"/>
    <n v="5"/>
    <m/>
    <n v="9"/>
    <x v="0"/>
    <m/>
    <n v="14010"/>
    <m/>
    <n v="6309"/>
    <n v="13309"/>
    <n v="119781"/>
    <n v="22758.39"/>
    <n v="142539.39000000001"/>
    <n v="15837.710000000001"/>
    <m/>
    <s v="ETNIKER HYDROELIXIR * 38 ML LMAR"/>
  </r>
  <r>
    <d v="2023-10-02T00:00:00"/>
    <n v="41524"/>
    <n v="6"/>
    <m/>
    <n v="8"/>
    <x v="8"/>
    <m/>
    <n v="14010"/>
    <m/>
    <n v="5608"/>
    <n v="13309"/>
    <n v="106472"/>
    <n v="20229.68"/>
    <n v="126701.68"/>
    <n v="15837.71"/>
    <m/>
    <s v="ETNIKER SH 250 ML LMAR"/>
  </r>
  <r>
    <d v="2023-10-02T00:00:00"/>
    <n v="41524"/>
    <n v="7"/>
    <m/>
    <n v="10"/>
    <x v="9"/>
    <m/>
    <n v="14010"/>
    <m/>
    <n v="7010"/>
    <n v="13309"/>
    <n v="133090"/>
    <n v="25287.1"/>
    <n v="158377.1"/>
    <n v="15837.710000000001"/>
    <m/>
    <s v="ETNIKER GEL FLUIDO * 300 GR LMAR"/>
  </r>
  <r>
    <d v="2023-10-02T00:00:00"/>
    <n v="41524"/>
    <n v="8"/>
    <m/>
    <n v="4"/>
    <x v="18"/>
    <m/>
    <n v="21910"/>
    <m/>
    <n v="5016"/>
    <n v="20656"/>
    <n v="82624"/>
    <n v="15698.56"/>
    <n v="98322.559999999998"/>
    <n v="24580.639999999999"/>
    <m/>
    <s v="ETNIKER CREMA PEINAR 500 LMAR"/>
  </r>
  <r>
    <d v="2023-10-02T00:00:00"/>
    <n v="41524"/>
    <n v="9"/>
    <m/>
    <n v="4"/>
    <x v="1"/>
    <m/>
    <n v="9321"/>
    <m/>
    <n v="2024"/>
    <n v="8815"/>
    <n v="35260"/>
    <n v="6699.4"/>
    <n v="41959.4"/>
    <n v="10489.85"/>
    <m/>
    <s v="ETNIKER CURL DEFINING GEL 300 ML LMAR"/>
  </r>
  <r>
    <d v="2023-10-02T00:00:00"/>
    <n v="41524"/>
    <n v="10"/>
    <m/>
    <n v="4"/>
    <x v="19"/>
    <m/>
    <n v="19514"/>
    <m/>
    <n v="3988"/>
    <n v="18517"/>
    <n v="74068"/>
    <n v="14072.92"/>
    <n v="88140.92"/>
    <n v="22035.23"/>
    <m/>
    <s v="TRAT SATIN REPAIR GUSANO SEDA * 290 ML LMAR"/>
  </r>
  <r>
    <d v="2023-10-17T00:00:00"/>
    <n v="42035"/>
    <n v="1"/>
    <m/>
    <n v="1"/>
    <x v="31"/>
    <m/>
    <n v="12972"/>
    <m/>
    <n v="0"/>
    <n v="12972"/>
    <n v="12972"/>
    <n v="2464.6799999999998"/>
    <n v="15436.68"/>
    <n v="15436.68"/>
    <m/>
    <e v="#N/A"/>
  </r>
  <r>
    <d v="2023-10-17T00:00:00"/>
    <n v="42035"/>
    <n v="2"/>
    <m/>
    <n v="3"/>
    <x v="33"/>
    <m/>
    <n v="12142"/>
    <m/>
    <n v="1821"/>
    <n v="11535"/>
    <n v="34605"/>
    <n v="6574.95"/>
    <n v="41179.949999999997"/>
    <n v="13726.65"/>
    <n v="3"/>
    <s v="ETNIKER HYDROELIXIR * 38 ML LMAR"/>
  </r>
  <r>
    <d v="2023-10-17T00:00:00"/>
    <n v="42035"/>
    <n v="3"/>
    <m/>
    <n v="7"/>
    <x v="15"/>
    <m/>
    <n v="11712"/>
    <m/>
    <n v="0"/>
    <n v="11712"/>
    <n v="81984"/>
    <n v="15576.960000000001"/>
    <n v="97560.960000000006"/>
    <n v="13937.28"/>
    <n v="7"/>
    <s v="ETNIKER SH LIMPIEZA PROFUNDA 250 ML LMAR"/>
  </r>
  <r>
    <d v="2023-10-17T00:00:00"/>
    <n v="42035"/>
    <n v="4"/>
    <m/>
    <n v="6"/>
    <x v="0"/>
    <m/>
    <n v="14010"/>
    <m/>
    <n v="4206"/>
    <n v="13309"/>
    <n v="79854"/>
    <n v="15172.26"/>
    <n v="95026.26"/>
    <n v="15837.71"/>
    <n v="6"/>
    <s v="ETNIKER HYDROELIXIR * 38 ML LMAR"/>
  </r>
  <r>
    <d v="2023-10-17T00:00:00"/>
    <n v="42035"/>
    <n v="5"/>
    <m/>
    <n v="3"/>
    <x v="13"/>
    <m/>
    <n v="29437"/>
    <m/>
    <n v="4560"/>
    <n v="27917"/>
    <n v="83751"/>
    <n v="15912.69"/>
    <n v="99663.69"/>
    <n v="33221.230000000003"/>
    <n v="3"/>
    <s v="ETNIKER CURL DEFINING GEL 1000 ML LMAR"/>
  </r>
  <r>
    <d v="2023-10-17T00:00:00"/>
    <n v="42035"/>
    <n v="6"/>
    <m/>
    <n v="3"/>
    <x v="2"/>
    <m/>
    <n v="19514"/>
    <m/>
    <n v="2991"/>
    <n v="18517"/>
    <n v="55551"/>
    <n v="10554.69"/>
    <n v="66105.69"/>
    <n v="22035.23"/>
    <n v="3"/>
    <s v="ETNIKER TRAT CARIBE * 1000 GR LMAR"/>
  </r>
  <r>
    <d v="2023-10-17T00:00:00"/>
    <n v="42035"/>
    <n v="7"/>
    <m/>
    <n v="4"/>
    <x v="27"/>
    <m/>
    <n v="19514"/>
    <m/>
    <n v="3988"/>
    <n v="18517"/>
    <n v="74068"/>
    <n v="14072.92"/>
    <n v="88140.92"/>
    <n v="22035.23"/>
    <n v="4"/>
    <s v="ETNIKER TRAT AMAZONIA 1000 GR LMAR"/>
  </r>
  <r>
    <d v="2023-10-17T00:00:00"/>
    <n v="42035"/>
    <n v="8"/>
    <m/>
    <n v="1"/>
    <x v="37"/>
    <m/>
    <n v="24888"/>
    <m/>
    <n v="1244"/>
    <n v="23644"/>
    <n v="23644"/>
    <n v="4492.3599999999997"/>
    <n v="28136.36"/>
    <n v="28136.36"/>
    <n v="1"/>
    <s v="ETNIKER SH 500 ML LMAR"/>
  </r>
  <r>
    <d v="2023-10-23T00:00:00"/>
    <n v="42419"/>
    <n v="1"/>
    <m/>
    <n v="6"/>
    <x v="4"/>
    <m/>
    <n v="120502"/>
    <m/>
    <n v="196530"/>
    <n v="87747"/>
    <n v="526482"/>
    <n v="100031.58"/>
    <n v="626513.57999999996"/>
    <n v="104418.93"/>
    <n v="6"/>
    <s v="KIT LISSTYLE TRAT ALISADOR PROGR * 250 ML"/>
  </r>
  <r>
    <d v="2023-10-23T00:00:00"/>
    <n v="42419"/>
    <n v="2"/>
    <m/>
    <n v="2"/>
    <x v="25"/>
    <m/>
    <n v="11924"/>
    <m/>
    <n v="0"/>
    <n v="11924"/>
    <n v="23848"/>
    <n v="4531.12"/>
    <n v="28379.119999999999"/>
    <n v="14189.56"/>
    <n v="2"/>
    <s v="OLEO NUTRITIVO DE ARGAN * 38 ML"/>
  </r>
  <r>
    <d v="2023-10-23T00:00:00"/>
    <n v="42419"/>
    <n v="3"/>
    <m/>
    <n v="8"/>
    <x v="17"/>
    <m/>
    <n v="135600"/>
    <m/>
    <n v="77480"/>
    <n v="125915"/>
    <n v="1007320"/>
    <n v="191390.8"/>
    <n v="1198710.8"/>
    <n v="149838.85"/>
    <n v="8"/>
    <s v="KIT LISSTYLE TRAT ALISAD PROGR *1000ML"/>
  </r>
  <r>
    <d v="2023-10-23T00:00:00"/>
    <n v="42419"/>
    <n v="4"/>
    <m/>
    <n v="10"/>
    <x v="6"/>
    <m/>
    <n v="14010"/>
    <m/>
    <n v="7010"/>
    <n v="13309"/>
    <n v="133090"/>
    <n v="25287.1"/>
    <n v="158377.1"/>
    <n v="15837.710000000001"/>
    <n v="10"/>
    <s v="CREMA PEINAR ETNIKER * 290g"/>
  </r>
  <r>
    <d v="2023-10-23T00:00:00"/>
    <n v="42419"/>
    <n v="5"/>
    <m/>
    <n v="6"/>
    <x v="7"/>
    <m/>
    <n v="14010"/>
    <m/>
    <n v="4206"/>
    <n v="13309"/>
    <n v="79854"/>
    <n v="15172.26"/>
    <n v="95026.26"/>
    <n v="15837.71"/>
    <n v="6"/>
    <s v="MASCARILLA ETNIKER * 300g"/>
  </r>
  <r>
    <d v="2023-10-23T00:00:00"/>
    <n v="42419"/>
    <n v="6"/>
    <m/>
    <n v="7"/>
    <x v="0"/>
    <m/>
    <n v="14010"/>
    <m/>
    <n v="4907"/>
    <n v="13309"/>
    <n v="93163"/>
    <n v="17700.97"/>
    <n v="110863.97"/>
    <n v="15837.710000000001"/>
    <n v="7"/>
    <s v="HIDROELIXIR ETNIKER * 38ml"/>
  </r>
  <r>
    <d v="2023-10-23T00:00:00"/>
    <n v="42419"/>
    <n v="7"/>
    <m/>
    <n v="6"/>
    <x v="8"/>
    <m/>
    <n v="14010"/>
    <m/>
    <n v="4206"/>
    <n v="13309"/>
    <n v="79854"/>
    <n v="15172.26"/>
    <n v="95026.26"/>
    <n v="15837.71"/>
    <n v="6"/>
    <s v="SHAMPOO NOURISHING ETNIKER * 250ml"/>
  </r>
  <r>
    <d v="2023-10-23T00:00:00"/>
    <n v="42419"/>
    <n v="8"/>
    <m/>
    <n v="10"/>
    <x v="9"/>
    <m/>
    <n v="14010"/>
    <m/>
    <n v="7010"/>
    <n v="13309"/>
    <n v="133090"/>
    <n v="25287.1"/>
    <n v="158377.1"/>
    <n v="15837.710000000001"/>
    <n v="10"/>
    <s v="GEL FLUIDO ETNIKER * 300ml"/>
  </r>
  <r>
    <d v="2023-10-23T00:00:00"/>
    <n v="42419"/>
    <n v="9"/>
    <m/>
    <n v="5"/>
    <x v="18"/>
    <m/>
    <n v="21910"/>
    <m/>
    <n v="6270"/>
    <n v="20656"/>
    <n v="103280"/>
    <n v="19623.2"/>
    <n v="122903.2"/>
    <n v="24580.639999999999"/>
    <n v="5"/>
    <s v="CREMA PEINAR ETNIKER * 500g"/>
  </r>
  <r>
    <d v="2023-10-23T00:00:00"/>
    <n v="42419"/>
    <n v="10"/>
    <m/>
    <n v="1"/>
    <x v="40"/>
    <m/>
    <n v="23956"/>
    <m/>
    <n v="0"/>
    <n v="23956"/>
    <n v="23956"/>
    <n v="4551.6400000000003"/>
    <n v="28507.64"/>
    <n v="28507.64"/>
    <n v="1"/>
    <s v="MASCARILLA ETNIKER * 570g"/>
  </r>
  <r>
    <d v="2023-10-23T00:00:00"/>
    <n v="42419"/>
    <n v="11"/>
    <m/>
    <n v="3"/>
    <x v="11"/>
    <m/>
    <n v="23472"/>
    <m/>
    <n v="3522"/>
    <n v="22298"/>
    <n v="66894"/>
    <n v="12709.86"/>
    <n v="79603.86"/>
    <n v="26534.62"/>
    <n v="3"/>
    <s v="TONICO CAPILAR ETNIKER *120 ML"/>
  </r>
  <r>
    <d v="2023-10-23T00:00:00"/>
    <n v="42419"/>
    <n v="12"/>
    <m/>
    <n v="6"/>
    <x v="1"/>
    <m/>
    <n v="9321"/>
    <m/>
    <n v="3036"/>
    <n v="8815"/>
    <n v="52890"/>
    <n v="10049.1"/>
    <n v="62939.1"/>
    <n v="10489.85"/>
    <n v="6"/>
    <s v="GEL CURL DEFINING ETNIKER X 300 GR"/>
  </r>
  <r>
    <d v="2023-10-23T00:00:00"/>
    <n v="42419"/>
    <n v="13"/>
    <m/>
    <n v="1"/>
    <x v="15"/>
    <m/>
    <n v="17692"/>
    <m/>
    <n v="0"/>
    <n v="17692"/>
    <n v="17692"/>
    <n v="3361.48"/>
    <n v="21053.48"/>
    <n v="21053.48"/>
    <n v="1"/>
    <s v="THERMO BLINDAJE TRATAM CAPILAR 250GR"/>
  </r>
  <r>
    <d v="2023-11-07T00:00:00"/>
    <n v="42971"/>
    <n v="1"/>
    <m/>
    <n v="2"/>
    <x v="41"/>
    <m/>
    <m/>
    <m/>
    <m/>
    <n v="0"/>
    <n v="0"/>
    <n v="0"/>
    <n v="0"/>
    <m/>
    <m/>
    <m/>
  </r>
  <r>
    <d v="2023-11-07T00:00:00"/>
    <n v="42971"/>
    <n v="2"/>
    <m/>
    <n v="2"/>
    <x v="42"/>
    <m/>
    <m/>
    <m/>
    <m/>
    <n v="0"/>
    <n v="0"/>
    <n v="0"/>
    <n v="0"/>
    <m/>
    <m/>
    <m/>
  </r>
  <r>
    <d v="2023-11-07T00:00:00"/>
    <n v="42971"/>
    <n v="3"/>
    <m/>
    <n v="2"/>
    <x v="42"/>
    <m/>
    <m/>
    <m/>
    <m/>
    <n v="0"/>
    <n v="0"/>
    <n v="0"/>
    <n v="0"/>
    <m/>
    <m/>
    <m/>
  </r>
  <r>
    <d v="2023-11-07T00:00:00"/>
    <n v="42971"/>
    <n v="4"/>
    <m/>
    <n v="6"/>
    <x v="42"/>
    <m/>
    <m/>
    <m/>
    <m/>
    <n v="0"/>
    <n v="0"/>
    <n v="0"/>
    <n v="0"/>
    <m/>
    <m/>
    <m/>
  </r>
  <r>
    <d v="2023-11-07T00:00:00"/>
    <n v="42971"/>
    <n v="5"/>
    <m/>
    <n v="2"/>
    <x v="42"/>
    <m/>
    <m/>
    <m/>
    <m/>
    <n v="0"/>
    <n v="0"/>
    <n v="0"/>
    <n v="0"/>
    <m/>
    <m/>
    <m/>
  </r>
  <r>
    <d v="2023-11-07T00:00:00"/>
    <n v="42971"/>
    <n v="6"/>
    <m/>
    <n v="3"/>
    <x v="42"/>
    <m/>
    <m/>
    <m/>
    <m/>
    <n v="0"/>
    <n v="0"/>
    <n v="0"/>
    <n v="0"/>
    <m/>
    <m/>
    <m/>
  </r>
  <r>
    <d v="2023-11-07T00:00:00"/>
    <n v="42971"/>
    <n v="7"/>
    <m/>
    <n v="3"/>
    <x v="42"/>
    <m/>
    <m/>
    <m/>
    <m/>
    <n v="0"/>
    <n v="0"/>
    <n v="0"/>
    <n v="0"/>
    <m/>
    <m/>
    <m/>
  </r>
  <r>
    <d v="2023-11-07T00:00:00"/>
    <n v="42971"/>
    <n v="8"/>
    <m/>
    <n v="3"/>
    <x v="42"/>
    <m/>
    <m/>
    <m/>
    <m/>
    <n v="0"/>
    <n v="0"/>
    <n v="0"/>
    <n v="0"/>
    <m/>
    <m/>
    <m/>
  </r>
  <r>
    <d v="2023-11-07T00:00:00"/>
    <n v="42971"/>
    <n v="9"/>
    <m/>
    <n v="2"/>
    <x v="42"/>
    <m/>
    <m/>
    <m/>
    <m/>
    <n v="0"/>
    <n v="0"/>
    <n v="0"/>
    <n v="0"/>
    <m/>
    <m/>
    <m/>
  </r>
  <r>
    <d v="2023-11-07T00:00:00"/>
    <n v="42971"/>
    <n v="10"/>
    <m/>
    <n v="4"/>
    <x v="42"/>
    <m/>
    <m/>
    <m/>
    <m/>
    <n v="0"/>
    <n v="0"/>
    <n v="0"/>
    <n v="0"/>
    <m/>
    <m/>
    <m/>
  </r>
  <r>
    <d v="2023-11-07T00:00:00"/>
    <n v="42971"/>
    <n v="11"/>
    <m/>
    <n v="6"/>
    <x v="42"/>
    <m/>
    <m/>
    <m/>
    <m/>
    <n v="0"/>
    <n v="0"/>
    <n v="0"/>
    <n v="0"/>
    <m/>
    <m/>
    <m/>
  </r>
  <r>
    <d v="2023-11-07T00:00:00"/>
    <n v="42971"/>
    <n v="12"/>
    <m/>
    <n v="5"/>
    <x v="42"/>
    <m/>
    <m/>
    <m/>
    <m/>
    <n v="0"/>
    <n v="0"/>
    <n v="0"/>
    <n v="0"/>
    <m/>
    <m/>
    <m/>
  </r>
  <r>
    <d v="2023-11-20T00:00:00"/>
    <n v="43504"/>
    <n v="1"/>
    <m/>
    <n v="6"/>
    <x v="15"/>
    <m/>
    <n v="11712"/>
    <m/>
    <n v="0"/>
    <n v="11712"/>
    <n v="70272"/>
    <n v="13351.68"/>
    <n v="83623.679999999993"/>
    <n v="13937.279999999999"/>
    <n v="6"/>
    <m/>
  </r>
  <r>
    <d v="2023-11-20T00:00:00"/>
    <n v="43504"/>
    <n v="2"/>
    <m/>
    <n v="3"/>
    <x v="7"/>
    <m/>
    <n v="14010"/>
    <m/>
    <n v="2103"/>
    <n v="13309"/>
    <n v="39927"/>
    <n v="7586.13"/>
    <n v="47513.13"/>
    <n v="15837.71"/>
    <n v="3"/>
    <m/>
  </r>
  <r>
    <d v="2023-11-20T00:00:00"/>
    <n v="43504"/>
    <n v="3"/>
    <m/>
    <n v="3"/>
    <x v="8"/>
    <m/>
    <n v="14010"/>
    <m/>
    <n v="2103"/>
    <n v="13309"/>
    <n v="39927"/>
    <n v="7586.13"/>
    <n v="47513.13"/>
    <n v="15837.71"/>
    <n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LMARListado">
  <location ref="A1:A45" firstHeaderRow="1" firstDataRow="1" firstDataCol="1"/>
  <pivotFields count="17">
    <pivotField showAll="0"/>
    <pivotField showAll="0"/>
    <pivotField showAll="0"/>
    <pivotField showAll="0"/>
    <pivotField numFmtId="1" showAll="0"/>
    <pivotField axis="axisRow" showAll="0" sortType="ascending">
      <items count="44">
        <item x="31"/>
        <item x="24"/>
        <item x="20"/>
        <item x="14"/>
        <item x="6"/>
        <item x="18"/>
        <item x="39"/>
        <item x="13"/>
        <item x="1"/>
        <item x="9"/>
        <item x="38"/>
        <item x="36"/>
        <item x="0"/>
        <item x="41"/>
        <item x="5"/>
        <item x="17"/>
        <item x="16"/>
        <item x="4"/>
        <item x="33"/>
        <item x="7"/>
        <item x="40"/>
        <item x="25"/>
        <item x="10"/>
        <item x="35"/>
        <item x="29"/>
        <item x="3"/>
        <item x="32"/>
        <item x="12"/>
        <item x="30"/>
        <item x="28"/>
        <item x="21"/>
        <item x="34"/>
        <item x="23"/>
        <item x="8"/>
        <item x="37"/>
        <item x="15"/>
        <item x="11"/>
        <item x="22"/>
        <item x="27"/>
        <item x="2"/>
        <item x="26"/>
        <item x="19"/>
        <item x="42"/>
        <item t="default"/>
      </items>
    </pivotField>
    <pivotField showAll="0"/>
    <pivotField numFmtId="169" showAll="0"/>
    <pivotField showAll="0"/>
    <pivotField showAll="0"/>
    <pivotField numFmtId="169" showAll="0"/>
    <pivotField numFmtId="169" showAll="0"/>
    <pivotField numFmtId="169" showAll="0"/>
    <pivotField numFmtId="169" showAll="0"/>
    <pivotField numFmtId="170" showAll="0"/>
    <pivotField showAll="0" defaultSubtotal="0"/>
    <pivotField showAll="0"/>
  </pivotFields>
  <rowFields count="1">
    <field x="5"/>
  </rowFields>
  <rowItems count="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formats count="4">
    <format dxfId="0">
      <pivotArea type="all" dataOnly="0" outline="0" fieldPosition="0"/>
    </format>
    <format dxfId="1">
      <pivotArea field="5" type="button" dataOnly="0" labelOnly="1" outline="0" axis="axisRow" fieldPosition="0"/>
    </format>
    <format dxfId="2">
      <pivotArea dataOnly="0" labelOnly="1" fieldPosition="0">
        <references count="1">
          <reference field="5" count="0"/>
        </references>
      </pivotArea>
    </format>
    <format dxfId="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Tabla4" displayName="Tabla4" ref="A1:L10" totalsRowShown="0">
  <autoFilter ref="A1:L10"/>
  <tableColumns count="12">
    <tableColumn id="1" name="FECHA" dataDxfId="6"/>
    <tableColumn id="2" name="FACT_FEN" dataDxfId="4"/>
    <tableColumn id="3" name="Reg" dataDxfId="5"/>
    <tableColumn id="4" name="Cantidad" dataDxfId="7"/>
    <tableColumn id="5" name="Descripcion" dataDxfId="15"/>
    <tableColumn id="6" name="VALOR_UNITARIO" dataDxfId="14"/>
    <tableColumn id="7" name="DESCUENTOS" dataDxfId="13"/>
    <tableColumn id="8" name="PRECIO_FINAL" dataDxfId="12"/>
    <tableColumn id="9" name="VALOR_TOTAL" dataDxfId="11"/>
    <tableColumn id="10" name="iva_19%" dataDxfId="10"/>
    <tableColumn id="11" name="VALOR_TOTAL2" dataDxfId="9"/>
    <tableColumn id="12" name="COSTO_UND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45"/>
  <sheetViews>
    <sheetView topLeftCell="A22" workbookViewId="0">
      <selection activeCell="G10" sqref="G10"/>
    </sheetView>
  </sheetViews>
  <sheetFormatPr baseColWidth="10" defaultRowHeight="14.5" x14ac:dyDescent="0.35"/>
  <sheetData>
    <row r="1" spans="1:1" x14ac:dyDescent="0.35">
      <c r="A1" s="10" t="s">
        <v>14</v>
      </c>
    </row>
    <row r="2" spans="1:1" x14ac:dyDescent="0.35">
      <c r="A2" s="9" t="s">
        <v>15</v>
      </c>
    </row>
    <row r="3" spans="1:1" x14ac:dyDescent="0.35">
      <c r="A3" s="9" t="s">
        <v>16</v>
      </c>
    </row>
    <row r="4" spans="1:1" x14ac:dyDescent="0.35">
      <c r="A4" s="9" t="s">
        <v>12</v>
      </c>
    </row>
    <row r="5" spans="1:1" x14ac:dyDescent="0.35">
      <c r="A5" s="9" t="s">
        <v>17</v>
      </c>
    </row>
    <row r="6" spans="1:1" x14ac:dyDescent="0.35">
      <c r="A6" s="9" t="s">
        <v>18</v>
      </c>
    </row>
    <row r="7" spans="1:1" x14ac:dyDescent="0.35">
      <c r="A7" s="9" t="s">
        <v>19</v>
      </c>
    </row>
    <row r="8" spans="1:1" x14ac:dyDescent="0.35">
      <c r="A8" s="9" t="s">
        <v>20</v>
      </c>
    </row>
    <row r="9" spans="1:1" x14ac:dyDescent="0.35">
      <c r="A9" s="9" t="s">
        <v>21</v>
      </c>
    </row>
    <row r="10" spans="1:1" x14ac:dyDescent="0.35">
      <c r="A10" s="9" t="s">
        <v>22</v>
      </c>
    </row>
    <row r="11" spans="1:1" x14ac:dyDescent="0.35">
      <c r="A11" s="9" t="s">
        <v>23</v>
      </c>
    </row>
    <row r="12" spans="1:1" x14ac:dyDescent="0.35">
      <c r="A12" s="9" t="s">
        <v>24</v>
      </c>
    </row>
    <row r="13" spans="1:1" x14ac:dyDescent="0.35">
      <c r="A13" s="9" t="s">
        <v>25</v>
      </c>
    </row>
    <row r="14" spans="1:1" x14ac:dyDescent="0.35">
      <c r="A14" s="9" t="s">
        <v>26</v>
      </c>
    </row>
    <row r="15" spans="1:1" x14ac:dyDescent="0.35">
      <c r="A15" s="9" t="s">
        <v>27</v>
      </c>
    </row>
    <row r="16" spans="1:1" x14ac:dyDescent="0.35">
      <c r="A16" s="9" t="s">
        <v>28</v>
      </c>
    </row>
    <row r="17" spans="1:1" x14ac:dyDescent="0.35">
      <c r="A17" s="9" t="s">
        <v>29</v>
      </c>
    </row>
    <row r="18" spans="1:1" x14ac:dyDescent="0.35">
      <c r="A18" s="9" t="s">
        <v>30</v>
      </c>
    </row>
    <row r="19" spans="1:1" x14ac:dyDescent="0.35">
      <c r="A19" s="9" t="s">
        <v>31</v>
      </c>
    </row>
    <row r="20" spans="1:1" x14ac:dyDescent="0.35">
      <c r="A20" s="9" t="s">
        <v>32</v>
      </c>
    </row>
    <row r="21" spans="1:1" x14ac:dyDescent="0.35">
      <c r="A21" s="9" t="s">
        <v>33</v>
      </c>
    </row>
    <row r="22" spans="1:1" x14ac:dyDescent="0.35">
      <c r="A22" s="9" t="s">
        <v>34</v>
      </c>
    </row>
    <row r="23" spans="1:1" x14ac:dyDescent="0.35">
      <c r="A23" s="9" t="s">
        <v>35</v>
      </c>
    </row>
    <row r="24" spans="1:1" x14ac:dyDescent="0.35">
      <c r="A24" s="9" t="s">
        <v>36</v>
      </c>
    </row>
    <row r="25" spans="1:1" x14ac:dyDescent="0.35">
      <c r="A25" s="9" t="s">
        <v>37</v>
      </c>
    </row>
    <row r="26" spans="1:1" x14ac:dyDescent="0.35">
      <c r="A26" s="9" t="s">
        <v>38</v>
      </c>
    </row>
    <row r="27" spans="1:1" x14ac:dyDescent="0.35">
      <c r="A27" s="9" t="s">
        <v>39</v>
      </c>
    </row>
    <row r="28" spans="1:1" x14ac:dyDescent="0.35">
      <c r="A28" s="9" t="s">
        <v>40</v>
      </c>
    </row>
    <row r="29" spans="1:1" x14ac:dyDescent="0.35">
      <c r="A29" s="9" t="s">
        <v>41</v>
      </c>
    </row>
    <row r="30" spans="1:1" x14ac:dyDescent="0.35">
      <c r="A30" s="9" t="s">
        <v>42</v>
      </c>
    </row>
    <row r="31" spans="1:1" x14ac:dyDescent="0.35">
      <c r="A31" s="9" t="s">
        <v>43</v>
      </c>
    </row>
    <row r="32" spans="1:1" x14ac:dyDescent="0.35">
      <c r="A32" s="9" t="s">
        <v>44</v>
      </c>
    </row>
    <row r="33" spans="1:1" x14ac:dyDescent="0.35">
      <c r="A33" s="9" t="s">
        <v>45</v>
      </c>
    </row>
    <row r="34" spans="1:1" x14ac:dyDescent="0.35">
      <c r="A34" s="9" t="s">
        <v>46</v>
      </c>
    </row>
    <row r="35" spans="1:1" x14ac:dyDescent="0.35">
      <c r="A35" s="9" t="s">
        <v>47</v>
      </c>
    </row>
    <row r="36" spans="1:1" x14ac:dyDescent="0.35">
      <c r="A36" s="9" t="s">
        <v>48</v>
      </c>
    </row>
    <row r="37" spans="1:1" x14ac:dyDescent="0.35">
      <c r="A37" s="9" t="s">
        <v>49</v>
      </c>
    </row>
    <row r="38" spans="1:1" x14ac:dyDescent="0.35">
      <c r="A38" s="9" t="s">
        <v>50</v>
      </c>
    </row>
    <row r="39" spans="1:1" x14ac:dyDescent="0.35">
      <c r="A39" s="9" t="s">
        <v>51</v>
      </c>
    </row>
    <row r="40" spans="1:1" x14ac:dyDescent="0.35">
      <c r="A40" s="9" t="s">
        <v>52</v>
      </c>
    </row>
    <row r="41" spans="1:1" x14ac:dyDescent="0.35">
      <c r="A41" s="9" t="s">
        <v>53</v>
      </c>
    </row>
    <row r="42" spans="1:1" x14ac:dyDescent="0.35">
      <c r="A42" s="9" t="s">
        <v>54</v>
      </c>
    </row>
    <row r="43" spans="1:1" x14ac:dyDescent="0.35">
      <c r="A43" s="9" t="s">
        <v>55</v>
      </c>
    </row>
    <row r="44" spans="1:1" x14ac:dyDescent="0.35">
      <c r="A44" s="9" t="s">
        <v>56</v>
      </c>
    </row>
    <row r="45" spans="1:1" x14ac:dyDescent="0.35">
      <c r="A45" s="9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4"/>
  <sheetViews>
    <sheetView showGridLines="0" workbookViewId="0">
      <selection activeCell="B7" sqref="B7"/>
    </sheetView>
  </sheetViews>
  <sheetFormatPr baseColWidth="10" defaultRowHeight="14.5" x14ac:dyDescent="0.35"/>
  <cols>
    <col min="1" max="1" width="15.6328125" bestFit="1" customWidth="1"/>
    <col min="2" max="2" width="45.90625" customWidth="1"/>
  </cols>
  <sheetData>
    <row r="1" spans="1:5" ht="29" customHeight="1" x14ac:dyDescent="0.35">
      <c r="A1" t="s">
        <v>0</v>
      </c>
      <c r="B1" s="11">
        <f ca="1">TODAY()</f>
        <v>45268</v>
      </c>
    </row>
    <row r="2" spans="1:5" x14ac:dyDescent="0.35">
      <c r="A2" t="s">
        <v>1</v>
      </c>
      <c r="B2" s="12" t="s">
        <v>13</v>
      </c>
    </row>
    <row r="3" spans="1:5" x14ac:dyDescent="0.35">
      <c r="A3" t="s">
        <v>2</v>
      </c>
      <c r="B3" s="17"/>
    </row>
    <row r="4" spans="1:5" x14ac:dyDescent="0.35">
      <c r="A4" t="s">
        <v>3</v>
      </c>
      <c r="B4" s="17"/>
      <c r="C4" s="1"/>
      <c r="D4" s="1"/>
    </row>
    <row r="5" spans="1:5" x14ac:dyDescent="0.35">
      <c r="A5" t="s">
        <v>4</v>
      </c>
      <c r="B5" s="18"/>
    </row>
    <row r="6" spans="1:5" x14ac:dyDescent="0.35">
      <c r="A6" t="s">
        <v>5</v>
      </c>
      <c r="B6" s="19"/>
    </row>
    <row r="7" spans="1:5" x14ac:dyDescent="0.35">
      <c r="A7" t="s">
        <v>6</v>
      </c>
      <c r="B7" s="20"/>
    </row>
    <row r="8" spans="1:5" x14ac:dyDescent="0.35">
      <c r="A8" t="s">
        <v>7</v>
      </c>
      <c r="B8" s="13" t="e">
        <f>B6-(B7/B4)</f>
        <v>#DIV/0!</v>
      </c>
    </row>
    <row r="9" spans="1:5" x14ac:dyDescent="0.35">
      <c r="A9" t="s">
        <v>8</v>
      </c>
      <c r="B9" s="13" t="e">
        <f>B8*B4</f>
        <v>#DIV/0!</v>
      </c>
    </row>
    <row r="10" spans="1:5" x14ac:dyDescent="0.35">
      <c r="A10" t="s">
        <v>9</v>
      </c>
      <c r="B10" s="14" t="e">
        <f>B9*19%</f>
        <v>#DIV/0!</v>
      </c>
    </row>
    <row r="11" spans="1:5" x14ac:dyDescent="0.35">
      <c r="A11" t="s">
        <v>10</v>
      </c>
      <c r="B11" s="15" t="e">
        <f>B9+B10</f>
        <v>#DIV/0!</v>
      </c>
    </row>
    <row r="12" spans="1:5" x14ac:dyDescent="0.35">
      <c r="A12" s="2" t="s">
        <v>11</v>
      </c>
      <c r="B12" s="16" t="e">
        <f>B11/B4</f>
        <v>#DIV/0!</v>
      </c>
    </row>
    <row r="14" spans="1:5" x14ac:dyDescent="0.35">
      <c r="E14" s="1"/>
    </row>
  </sheetData>
  <sheetProtection sheet="1" objects="1" scenario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LISTADOS!$A$2:$A$43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9"/>
  <sheetViews>
    <sheetView tabSelected="1" topLeftCell="B1" workbookViewId="0">
      <selection activeCell="K2" sqref="K2:K9"/>
    </sheetView>
  </sheetViews>
  <sheetFormatPr baseColWidth="10" defaultRowHeight="14.5" x14ac:dyDescent="0.35"/>
  <cols>
    <col min="1" max="1" width="20.1796875" style="3" bestFit="1" customWidth="1"/>
    <col min="2" max="2" width="11.1796875" style="8" customWidth="1"/>
    <col min="3" max="4" width="10.90625" style="4"/>
    <col min="5" max="5" width="12.453125" style="5" customWidth="1"/>
    <col min="6" max="6" width="17.7265625" style="6" customWidth="1"/>
    <col min="7" max="7" width="13.90625" style="6" customWidth="1"/>
    <col min="8" max="8" width="14.7265625" style="6" customWidth="1"/>
    <col min="9" max="9" width="14.81640625" style="6" customWidth="1"/>
    <col min="10" max="10" width="9.6328125" style="4" customWidth="1"/>
    <col min="11" max="11" width="15.81640625" style="7" customWidth="1"/>
    <col min="12" max="12" width="10.90625" style="7"/>
  </cols>
  <sheetData>
    <row r="1" spans="1:12" x14ac:dyDescent="0.35">
      <c r="A1" s="3" t="s">
        <v>0</v>
      </c>
      <c r="B1" s="8" t="s">
        <v>1</v>
      </c>
      <c r="C1" s="4" t="s">
        <v>2</v>
      </c>
      <c r="D1" s="4" t="s">
        <v>3</v>
      </c>
      <c r="E1" s="5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4" t="s">
        <v>9</v>
      </c>
      <c r="K1" s="7" t="s">
        <v>10</v>
      </c>
      <c r="L1" s="7" t="s">
        <v>11</v>
      </c>
    </row>
    <row r="2" spans="1:12" x14ac:dyDescent="0.35">
      <c r="A2" s="3">
        <v>45268</v>
      </c>
      <c r="B2" s="8" t="s">
        <v>13</v>
      </c>
      <c r="C2" s="4">
        <v>8</v>
      </c>
      <c r="D2" s="4">
        <v>3</v>
      </c>
      <c r="E2" s="5" t="s">
        <v>52</v>
      </c>
      <c r="F2" s="6">
        <v>19514</v>
      </c>
      <c r="G2" s="6">
        <v>2991</v>
      </c>
      <c r="H2" s="6">
        <v>18517</v>
      </c>
      <c r="I2" s="6">
        <v>55551</v>
      </c>
      <c r="J2" s="4">
        <v>10554.69</v>
      </c>
      <c r="K2" s="7">
        <v>66105.69</v>
      </c>
      <c r="L2" s="7">
        <v>22035.23</v>
      </c>
    </row>
    <row r="3" spans="1:12" x14ac:dyDescent="0.35">
      <c r="A3" s="3">
        <v>45268</v>
      </c>
      <c r="B3" s="8" t="s">
        <v>13</v>
      </c>
      <c r="C3" s="4">
        <v>7</v>
      </c>
      <c r="D3" s="4">
        <v>3</v>
      </c>
      <c r="E3" s="5" t="s">
        <v>53</v>
      </c>
      <c r="F3" s="6">
        <v>19514</v>
      </c>
      <c r="G3" s="6">
        <v>2991</v>
      </c>
      <c r="H3" s="6">
        <v>18517</v>
      </c>
      <c r="I3" s="6">
        <v>55551</v>
      </c>
      <c r="J3" s="4">
        <v>10554.69</v>
      </c>
      <c r="K3" s="7">
        <v>66105.69</v>
      </c>
      <c r="L3" s="7">
        <v>22035.23</v>
      </c>
    </row>
    <row r="4" spans="1:12" x14ac:dyDescent="0.35">
      <c r="A4" s="3">
        <v>45268</v>
      </c>
      <c r="B4" s="8" t="s">
        <v>13</v>
      </c>
      <c r="C4" s="4">
        <v>6</v>
      </c>
      <c r="D4" s="4">
        <v>10</v>
      </c>
      <c r="E4" s="5" t="s">
        <v>23</v>
      </c>
      <c r="F4" s="6">
        <v>14010</v>
      </c>
      <c r="G4" s="6">
        <v>7010</v>
      </c>
      <c r="H4" s="6">
        <v>13309</v>
      </c>
      <c r="I4" s="6">
        <v>133090</v>
      </c>
      <c r="J4" s="4">
        <v>25287.1</v>
      </c>
      <c r="K4" s="7">
        <v>158377.1</v>
      </c>
      <c r="L4" s="7">
        <v>15837.710000000001</v>
      </c>
    </row>
    <row r="5" spans="1:12" x14ac:dyDescent="0.35">
      <c r="A5" s="3">
        <v>45268</v>
      </c>
      <c r="B5" s="8" t="s">
        <v>13</v>
      </c>
      <c r="C5" s="4">
        <v>5</v>
      </c>
      <c r="D5" s="4">
        <v>8</v>
      </c>
      <c r="E5" s="5" t="s">
        <v>47</v>
      </c>
      <c r="F5" s="6">
        <v>14010</v>
      </c>
      <c r="G5" s="6">
        <v>5608</v>
      </c>
      <c r="H5" s="6">
        <v>13309</v>
      </c>
      <c r="I5" s="6">
        <v>106472</v>
      </c>
      <c r="J5" s="4">
        <v>20229.68</v>
      </c>
      <c r="K5" s="7">
        <v>126701.68</v>
      </c>
      <c r="L5" s="7">
        <v>15837.71</v>
      </c>
    </row>
    <row r="6" spans="1:12" x14ac:dyDescent="0.35">
      <c r="A6" s="3">
        <v>45268</v>
      </c>
      <c r="B6" s="8" t="s">
        <v>13</v>
      </c>
      <c r="C6" s="4">
        <v>4</v>
      </c>
      <c r="D6" s="4">
        <v>12</v>
      </c>
      <c r="E6" s="5" t="s">
        <v>26</v>
      </c>
      <c r="F6" s="6">
        <v>14010</v>
      </c>
      <c r="G6" s="6">
        <v>8412</v>
      </c>
      <c r="H6" s="6">
        <v>13309</v>
      </c>
      <c r="I6" s="6">
        <v>159708</v>
      </c>
      <c r="J6" s="4">
        <v>30344.52</v>
      </c>
      <c r="K6" s="7">
        <v>190052.52</v>
      </c>
      <c r="L6" s="7">
        <v>15837.71</v>
      </c>
    </row>
    <row r="7" spans="1:12" x14ac:dyDescent="0.35">
      <c r="A7" s="3">
        <v>45268</v>
      </c>
      <c r="B7" s="8" t="s">
        <v>13</v>
      </c>
      <c r="C7" s="4">
        <v>3</v>
      </c>
      <c r="D7" s="4">
        <v>7</v>
      </c>
      <c r="E7" s="5" t="s">
        <v>33</v>
      </c>
      <c r="F7" s="6">
        <v>14010</v>
      </c>
      <c r="G7" s="6">
        <v>4907</v>
      </c>
      <c r="H7" s="6">
        <v>13309</v>
      </c>
      <c r="I7" s="6">
        <v>93163</v>
      </c>
      <c r="J7" s="4">
        <v>17700.97</v>
      </c>
      <c r="K7" s="7">
        <v>110863.97</v>
      </c>
      <c r="L7" s="7">
        <v>15837.710000000001</v>
      </c>
    </row>
    <row r="8" spans="1:12" x14ac:dyDescent="0.35">
      <c r="A8" s="3">
        <v>45268</v>
      </c>
      <c r="B8" s="8" t="s">
        <v>13</v>
      </c>
      <c r="C8" s="4">
        <v>2</v>
      </c>
      <c r="D8" s="4">
        <v>9</v>
      </c>
      <c r="E8" s="5" t="s">
        <v>18</v>
      </c>
      <c r="F8" s="6">
        <v>14010</v>
      </c>
      <c r="G8" s="6">
        <v>6309</v>
      </c>
      <c r="H8" s="6">
        <v>13309</v>
      </c>
      <c r="I8" s="6">
        <v>119781</v>
      </c>
      <c r="J8" s="4">
        <v>22758.39</v>
      </c>
      <c r="K8" s="7">
        <v>142539.39000000001</v>
      </c>
      <c r="L8" s="7">
        <v>15837.710000000001</v>
      </c>
    </row>
    <row r="9" spans="1:12" x14ac:dyDescent="0.35">
      <c r="A9" s="3">
        <v>45268</v>
      </c>
      <c r="B9" s="8" t="s">
        <v>13</v>
      </c>
      <c r="C9" s="4">
        <v>1</v>
      </c>
      <c r="D9" s="4">
        <v>3</v>
      </c>
      <c r="E9" s="5" t="s">
        <v>28</v>
      </c>
      <c r="F9" s="6">
        <v>8546</v>
      </c>
      <c r="G9" s="6">
        <v>0</v>
      </c>
      <c r="H9" s="6">
        <v>8546</v>
      </c>
      <c r="I9" s="6">
        <v>25638</v>
      </c>
      <c r="J9" s="4">
        <v>4871.22</v>
      </c>
      <c r="K9" s="7">
        <v>30509.22</v>
      </c>
      <c r="L9" s="7">
        <v>10169.74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LISTADOS</vt:lpstr>
      <vt:lpstr>D</vt:lpstr>
      <vt:lpstr>BD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johnatan</dc:creator>
  <cp:lastModifiedBy>johnatan</cp:lastModifiedBy>
  <dcterms:created xsi:type="dcterms:W3CDTF">2023-12-08T18:16:47Z</dcterms:created>
  <dcterms:modified xsi:type="dcterms:W3CDTF">2023-12-08T22:07:58Z</dcterms:modified>
</cp:coreProperties>
</file>