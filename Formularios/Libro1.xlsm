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hnatan\Desktop\"/>
    </mc:Choice>
  </mc:AlternateContent>
  <bookViews>
    <workbookView xWindow="3720" yWindow="0" windowWidth="18270" windowHeight="7640"/>
  </bookViews>
  <sheets>
    <sheet name="Hoja1" sheetId="1" r:id="rId1"/>
    <sheet name="Base dato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" l="1"/>
  <c r="E13" i="2"/>
  <c r="F13" i="2"/>
  <c r="D13" i="2"/>
</calcChain>
</file>

<file path=xl/sharedStrings.xml><?xml version="1.0" encoding="utf-8"?>
<sst xmlns="http://schemas.openxmlformats.org/spreadsheetml/2006/main" count="28" uniqueCount="22">
  <si>
    <t>CODIGO</t>
  </si>
  <si>
    <t>DESCRIPCION</t>
  </si>
  <si>
    <t>PRECIO</t>
  </si>
  <si>
    <t>CANTIDAD</t>
  </si>
  <si>
    <t>SUBTOTAL</t>
  </si>
  <si>
    <t>FECHA</t>
  </si>
  <si>
    <t>SUBTOTALES</t>
  </si>
  <si>
    <t>codigo001</t>
  </si>
  <si>
    <t>SAMSUNG</t>
  </si>
  <si>
    <t>codigo100</t>
  </si>
  <si>
    <t>LG</t>
  </si>
  <si>
    <t>PANASONIC</t>
  </si>
  <si>
    <t>cond003</t>
  </si>
  <si>
    <t>LAVADORA</t>
  </si>
  <si>
    <t>ULTIMO</t>
  </si>
  <si>
    <t>KALEY</t>
  </si>
  <si>
    <t>cod004</t>
  </si>
  <si>
    <t>TABLET</t>
  </si>
  <si>
    <t>cod005</t>
  </si>
  <si>
    <t>licuadora</t>
  </si>
  <si>
    <t>CELTELCASA</t>
  </si>
  <si>
    <t>CELULAR IPHONE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</si>
</sst>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5" formatCode="&quot;$&quot;#,##0;\-&quot;$&quot;#,##0"/>
    <numFmt numFmtId="164" formatCode="&quot;$&quot;#,##0"/>
    <numFmt numFmtId="165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4" fontId="0" fillId="2" borderId="1" xfId="0" applyNumberFormat="1" applyFill="1" applyBorder="1"/>
    <xf numFmtId="165" fontId="0" fillId="0" borderId="1" xfId="0" applyNumberFormat="1" applyBorder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596900</xdr:colOff>
      <xdr:row>0</xdr:row>
      <xdr:rowOff>152400</xdr:rowOff>
    </xdr:from>
    <xdr:to>
      <xdr:col>5</xdr:col>
      <xdr:colOff>279400</xdr:colOff>
      <xdr:row>18</xdr:row>
      <xdr:rowOff>31750</xdr:rowOff>
    </xdr:to>
    <xdr:sp macro="" textlink="">
      <xdr:nvSpPr>
        <xdr:cNvPr id="2" name="Rectángulo redondeado 1"/>
        <xdr:cNvSpPr/>
      </xdr:nvSpPr>
      <xdr:spPr>
        <a:xfrm>
          <a:off x="596900" y="152400"/>
          <a:ext cx="3067050" cy="3009900"/>
        </a:xfrm>
        <a:prstGeom prst="roundRect">
          <a:avLst>
            <a:gd name="adj" fmla="val 9014"/>
          </a:avLst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171450</xdr:colOff>
      <xdr:row>15</xdr:row>
      <xdr:rowOff>12700</xdr:rowOff>
    </xdr:from>
    <xdr:to>
      <xdr:col>3</xdr:col>
      <xdr:colOff>50800</xdr:colOff>
      <xdr:row>16</xdr:row>
      <xdr:rowOff>146050</xdr:rowOff>
    </xdr:to>
    <xdr:sp macro="[0]!limpiarDatos" textlink="">
      <xdr:nvSpPr>
        <xdr:cNvPr id="3" name="Bisel 2"/>
        <xdr:cNvSpPr/>
      </xdr:nvSpPr>
      <xdr:spPr>
        <a:xfrm>
          <a:off x="933450" y="2590800"/>
          <a:ext cx="977900" cy="3175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50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</a:rPr>
            <a:t>limpiar</a:t>
          </a:r>
        </a:p>
      </xdr:txBody>
    </xdr:sp>
    <xdr:clientData/>
  </xdr:twoCellAnchor>
  <xdr:twoCellAnchor>
    <xdr:from>
      <xdr:col>3</xdr:col>
      <xdr:colOff>279400</xdr:colOff>
      <xdr:row>15</xdr:row>
      <xdr:rowOff>12700</xdr:rowOff>
    </xdr:from>
    <xdr:to>
      <xdr:col>4</xdr:col>
      <xdr:colOff>495300</xdr:colOff>
      <xdr:row>16</xdr:row>
      <xdr:rowOff>146050</xdr:rowOff>
    </xdr:to>
    <xdr:sp macro="[0]!Macro3" textlink="">
      <xdr:nvSpPr>
        <xdr:cNvPr id="4" name="Bisel 3"/>
        <xdr:cNvSpPr/>
      </xdr:nvSpPr>
      <xdr:spPr>
        <a:xfrm>
          <a:off x="2139950" y="2590800"/>
          <a:ext cx="977900" cy="3175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50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</a:rPr>
            <a:t>Grabar</a:t>
          </a:r>
        </a:p>
      </xdr:txBody>
    </xdr:sp>
    <xdr:clientData/>
  </xdr:twoCellAnchor>
  <xdr:twoCellAnchor>
    <xdr:from>
      <xdr:col>4</xdr:col>
      <xdr:colOff>38100</xdr:colOff>
      <xdr:row>12</xdr:row>
      <xdr:rowOff>146050</xdr:rowOff>
    </xdr:from>
    <xdr:to>
      <xdr:col>4</xdr:col>
      <xdr:colOff>717550</xdr:colOff>
      <xdr:row>14</xdr:row>
      <xdr:rowOff>19050</xdr:rowOff>
    </xdr:to>
    <xdr:sp macro="[0]!FECHA" textlink="">
      <xdr:nvSpPr>
        <xdr:cNvPr id="5" name="Bisel 4"/>
        <xdr:cNvSpPr/>
      </xdr:nvSpPr>
      <xdr:spPr>
        <a:xfrm>
          <a:off x="2660650" y="2171700"/>
          <a:ext cx="679450" cy="2413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50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</a:rPr>
            <a:t>Fecha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2:G12" totalsRowShown="0">
  <autoFilter ref="B2:G12"/>
  <tableColumns count="6">
    <tableColumn id="1" name="CODIGO"/>
    <tableColumn id="2" name="DESCRIPCION"/>
    <tableColumn id="3" name="PRECIO"/>
    <tableColumn id="4" name="CANTIDAD"/>
    <tableColumn id="5" name="SUBTOTAL"/>
    <tableColumn id="6" name="FECH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4:D14"/>
  <sheetViews>
    <sheetView showGridLines="0" tabSelected="1" workbookViewId="0">
      <selection activeCell="G15" sqref="G15"/>
    </sheetView>
  </sheetViews>
  <sheetFormatPr baseColWidth="10" defaultRowHeight="14.5" x14ac:dyDescent="0.35"/>
  <cols>
    <col min="2" max="2" width="12" bestFit="1" customWidth="1"/>
    <col min="3" max="3" width="3.7265625" customWidth="1"/>
    <col min="4" max="4" width="29.6328125" bestFit="1" customWidth="1"/>
  </cols>
  <sheetData>
    <row r="4" spans="2:4" x14ac:dyDescent="0.35">
      <c r="B4" s="1" t="s">
        <v>0</v>
      </c>
      <c r="D4" s="2"/>
    </row>
    <row r="6" spans="2:4" x14ac:dyDescent="0.35">
      <c r="B6" s="1" t="s">
        <v>1</v>
      </c>
      <c r="D6" s="2"/>
    </row>
    <row r="8" spans="2:4" x14ac:dyDescent="0.35">
      <c r="B8" s="1" t="s">
        <v>2</v>
      </c>
      <c r="D8" s="3"/>
    </row>
    <row r="10" spans="2:4" x14ac:dyDescent="0.35">
      <c r="B10" s="1" t="s">
        <v>3</v>
      </c>
      <c r="D10" s="4"/>
    </row>
    <row r="12" spans="2:4" x14ac:dyDescent="0.35">
      <c r="B12" s="1" t="s">
        <v>4</v>
      </c>
      <c r="D12" s="5">
        <f>D8*D10</f>
        <v>0</v>
      </c>
    </row>
    <row r="14" spans="2:4" x14ac:dyDescent="0.35">
      <c r="B14" s="1" t="s">
        <v>5</v>
      </c>
      <c r="D14" s="6"/>
    </row>
  </sheetData>
  <dataValidations count="2">
    <dataValidation type="decimal" allowBlank="1" showInputMessage="1" showErrorMessage="1" errorTitle="Error de Ingreso" error="Los datos permitidos son solo numericos_x000a_por favor vuelva a intenetar" sqref="D10">
      <formula1>1</formula1>
      <formula2>1000</formula2>
    </dataValidation>
    <dataValidation type="whole" allowBlank="1" showInputMessage="1" showErrorMessage="1" errorTitle="Error de Ingreso" error="Los datos permitidos son solo numericos_x000a_por favor vuelva a intenetar" sqref="D8">
      <formula1>1</formula1>
      <formula2>100000000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G13"/>
  <sheetViews>
    <sheetView workbookViewId="0">
      <selection activeCell="G3" sqref="G3"/>
    </sheetView>
  </sheetViews>
  <sheetFormatPr baseColWidth="10" defaultRowHeight="14.5" x14ac:dyDescent="0.35"/>
  <cols>
    <col min="3" max="3" width="14.08984375" customWidth="1"/>
    <col min="4" max="4" width="11.1796875" bestFit="1" customWidth="1"/>
    <col min="5" max="5" width="11.6328125" customWidth="1"/>
    <col min="6" max="6" width="11.453125" customWidth="1"/>
    <col min="7" max="7" width="29.6328125" bestFit="1" customWidth="1"/>
  </cols>
  <sheetData>
    <row r="2" spans="2:7" x14ac:dyDescent="0.3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</row>
    <row r="3" spans="2:7" x14ac:dyDescent="0.35">
      <c r="B3">
        <v>21548</v>
      </c>
      <c r="C3">
        <v>45646</v>
      </c>
      <c r="D3" s="7">
        <v>12000</v>
      </c>
      <c r="E3" s="8">
        <v>3</v>
      </c>
      <c r="F3" s="7">
        <v>36000</v>
      </c>
      <c r="G3" s="9">
        <v>45270</v>
      </c>
    </row>
    <row r="4" spans="2:7" x14ac:dyDescent="0.35">
      <c r="B4" t="s">
        <v>20</v>
      </c>
      <c r="C4" t="s">
        <v>21</v>
      </c>
      <c r="D4" s="7">
        <v>5000000</v>
      </c>
      <c r="E4" s="8">
        <v>1</v>
      </c>
      <c r="F4" s="7">
        <v>5000000</v>
      </c>
      <c r="G4" s="9">
        <v>45268</v>
      </c>
    </row>
    <row r="5" spans="2:7" x14ac:dyDescent="0.35">
      <c r="B5" t="s">
        <v>18</v>
      </c>
      <c r="C5" t="s">
        <v>19</v>
      </c>
      <c r="D5" s="7">
        <v>39000</v>
      </c>
      <c r="E5" s="8">
        <v>100</v>
      </c>
      <c r="F5" s="7">
        <v>3900000</v>
      </c>
      <c r="G5" s="9">
        <v>45268</v>
      </c>
    </row>
    <row r="6" spans="2:7" x14ac:dyDescent="0.35">
      <c r="B6" t="s">
        <v>16</v>
      </c>
      <c r="C6" t="s">
        <v>17</v>
      </c>
      <c r="D6" s="7">
        <v>500</v>
      </c>
      <c r="E6" s="8">
        <v>8</v>
      </c>
      <c r="F6" s="7">
        <v>4000</v>
      </c>
      <c r="G6" s="9">
        <v>45268</v>
      </c>
    </row>
    <row r="7" spans="2:7" x14ac:dyDescent="0.35">
      <c r="B7" t="s">
        <v>14</v>
      </c>
      <c r="C7" t="s">
        <v>15</v>
      </c>
      <c r="D7" s="7">
        <v>1000000</v>
      </c>
      <c r="E7" s="8">
        <v>50</v>
      </c>
      <c r="F7" s="7">
        <v>50000000</v>
      </c>
      <c r="G7" s="9">
        <v>45268</v>
      </c>
    </row>
    <row r="8" spans="2:7" x14ac:dyDescent="0.35">
      <c r="B8" t="s">
        <v>12</v>
      </c>
      <c r="C8" t="s">
        <v>13</v>
      </c>
      <c r="D8" s="7">
        <v>700000</v>
      </c>
      <c r="E8" s="8">
        <v>2</v>
      </c>
      <c r="F8" s="7">
        <v>1400000</v>
      </c>
      <c r="G8" s="9">
        <v>45152</v>
      </c>
    </row>
    <row r="9" spans="2:7" x14ac:dyDescent="0.35">
      <c r="B9">
        <v>202</v>
      </c>
      <c r="C9" t="s">
        <v>11</v>
      </c>
      <c r="D9" s="7">
        <v>500000</v>
      </c>
      <c r="E9" s="8">
        <v>6</v>
      </c>
      <c r="F9" s="7">
        <v>3000000</v>
      </c>
      <c r="G9" s="9">
        <v>43926</v>
      </c>
    </row>
    <row r="10" spans="2:7" x14ac:dyDescent="0.35">
      <c r="B10" t="s">
        <v>9</v>
      </c>
      <c r="C10" t="s">
        <v>10</v>
      </c>
      <c r="D10" s="7">
        <v>2000000</v>
      </c>
      <c r="E10" s="8">
        <v>1</v>
      </c>
      <c r="F10" s="7">
        <v>2000000</v>
      </c>
      <c r="G10" s="9">
        <v>43926</v>
      </c>
    </row>
    <row r="11" spans="2:7" x14ac:dyDescent="0.35">
      <c r="B11" t="s">
        <v>7</v>
      </c>
      <c r="C11" t="s">
        <v>8</v>
      </c>
      <c r="D11" s="7">
        <v>1000000</v>
      </c>
      <c r="E11" s="8">
        <v>5</v>
      </c>
      <c r="F11" s="7">
        <v>5000000</v>
      </c>
      <c r="G11" s="9">
        <v>43926</v>
      </c>
    </row>
    <row r="13" spans="2:7" x14ac:dyDescent="0.35">
      <c r="C13" t="s">
        <v>6</v>
      </c>
      <c r="D13" s="10">
        <f>SUBTOTAL(9,Tabla1[PRECIO])</f>
        <v>10251500</v>
      </c>
      <c r="E13" s="8">
        <f>SUBTOTAL(9,Tabla1[CANTIDAD])</f>
        <v>176</v>
      </c>
      <c r="F13" s="7">
        <f>SUBTOTAL(9,Tabla1[SUBTOTAL])</f>
        <v>70340000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Base datos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johnatan</dc:creator>
  <cp:lastModifiedBy>johnatan</cp:lastModifiedBy>
  <dcterms:created xsi:type="dcterms:W3CDTF">2023-12-08T11:38:59Z</dcterms:created>
  <dcterms:modified xsi:type="dcterms:W3CDTF">2023-12-10T11:23:01Z</dcterms:modified>
</cp:coreProperties>
</file>